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kegg_and_reactome\files_for_plotting\"/>
    </mc:Choice>
  </mc:AlternateContent>
  <xr:revisionPtr revIDLastSave="0" documentId="13_ncr:1_{FB09F5CE-F9C4-459F-8A95-E9C3FF1313FE}" xr6:coauthVersionLast="47" xr6:coauthVersionMax="47" xr10:uidLastSave="{00000000-0000-0000-0000-000000000000}"/>
  <bookViews>
    <workbookView xWindow="-28920" yWindow="-120" windowWidth="29040" windowHeight="15720" activeTab="1" xr2:uid="{8C0CCA07-70C8-4059-96DD-2DF0BEEBB82C}"/>
  </bookViews>
  <sheets>
    <sheet name="gene_lists_used" sheetId="1" r:id="rId1"/>
    <sheet name="PBS.VS.FT240.RCT.UP" sheetId="2" r:id="rId2"/>
    <sheet name="PBS.VS.FT240.KEGG.UP" sheetId="3" r:id="rId3"/>
    <sheet name="PBS.VS.FT240.RCT.DOWN" sheetId="4" r:id="rId4"/>
    <sheet name="PBS.VS.FT240.KEGG.DOWN" sheetId="5" r:id="rId5"/>
    <sheet name="PBS.VS.OVCAR3.RCT.UP" sheetId="6" r:id="rId6"/>
    <sheet name="PBS.VS.OVCAR3.KEGG.UP" sheetId="7" r:id="rId7"/>
    <sheet name="PBS.VS.OVCAR3.RCT.DOWN" sheetId="8" r:id="rId8"/>
    <sheet name="PBS.VS.OVCAR3.KEGG.DOW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2" i="3"/>
  <c r="G3" i="9"/>
  <c r="G4" i="9"/>
  <c r="G5" i="9"/>
  <c r="G6" i="9"/>
  <c r="G7" i="9"/>
  <c r="G8" i="9"/>
  <c r="G9" i="9"/>
  <c r="G10" i="9"/>
  <c r="G11" i="9"/>
  <c r="G2" i="9"/>
  <c r="G3" i="8"/>
  <c r="G4" i="8"/>
  <c r="G5" i="8"/>
  <c r="G6" i="8"/>
  <c r="G7" i="8"/>
  <c r="G8" i="8"/>
  <c r="G9" i="8"/>
  <c r="G10" i="8"/>
  <c r="G11" i="8"/>
  <c r="G12" i="8"/>
  <c r="G13" i="8"/>
  <c r="G2" i="8"/>
  <c r="G3" i="7"/>
  <c r="G4" i="7"/>
  <c r="G5" i="7"/>
  <c r="G6" i="7"/>
  <c r="G7" i="7"/>
  <c r="G8" i="7"/>
  <c r="G9" i="7"/>
  <c r="G10" i="7"/>
  <c r="G11" i="7"/>
  <c r="G2" i="7"/>
  <c r="G3" i="6"/>
  <c r="G4" i="6"/>
  <c r="G5" i="6"/>
  <c r="G6" i="6"/>
  <c r="G7" i="6"/>
  <c r="G8" i="6"/>
  <c r="G9" i="6"/>
  <c r="G10" i="6"/>
  <c r="G11" i="6"/>
  <c r="G2" i="6"/>
  <c r="G3" i="5"/>
  <c r="G4" i="5"/>
  <c r="G5" i="5"/>
  <c r="G6" i="5"/>
  <c r="G7" i="5"/>
  <c r="G2" i="5"/>
  <c r="G3" i="4"/>
  <c r="G4" i="4"/>
  <c r="G5" i="4"/>
  <c r="G6" i="4"/>
  <c r="G7" i="4"/>
  <c r="G8" i="4"/>
  <c r="G9" i="4"/>
  <c r="G10" i="4"/>
  <c r="G11" i="4"/>
  <c r="G2" i="4"/>
  <c r="G3" i="2"/>
  <c r="G4" i="2"/>
  <c r="G5" i="2"/>
  <c r="G6" i="2"/>
  <c r="G7" i="2"/>
  <c r="G8" i="2"/>
  <c r="G9" i="2"/>
  <c r="G10" i="2"/>
  <c r="G11" i="2"/>
  <c r="G2" i="2"/>
</calcChain>
</file>

<file path=xl/sharedStrings.xml><?xml version="1.0" encoding="utf-8"?>
<sst xmlns="http://schemas.openxmlformats.org/spreadsheetml/2006/main" count="1011" uniqueCount="404">
  <si>
    <t>sec_PBS.VS.OVCAR3_UP</t>
  </si>
  <si>
    <t>sec_PBS.VS.OVCAR3_DOWN</t>
  </si>
  <si>
    <t>sec_PBS.VS.FT240_UP</t>
  </si>
  <si>
    <t>sec_PBS.VS.FT240_down</t>
  </si>
  <si>
    <t>CXCL10</t>
  </si>
  <si>
    <t>CCL2</t>
  </si>
  <si>
    <t>CCL18</t>
  </si>
  <si>
    <t>CXCL8</t>
  </si>
  <si>
    <t>NANOG</t>
  </si>
  <si>
    <t>IFNA7/17</t>
  </si>
  <si>
    <t>UBE2C</t>
  </si>
  <si>
    <t>CXCL2</t>
  </si>
  <si>
    <t>BAGE</t>
  </si>
  <si>
    <t>CCL15</t>
  </si>
  <si>
    <t>XCR1</t>
  </si>
  <si>
    <t>CXCL11</t>
  </si>
  <si>
    <t>FCGR1A</t>
  </si>
  <si>
    <t>CCL3/L1</t>
  </si>
  <si>
    <t>KRT5</t>
  </si>
  <si>
    <t>KRT14</t>
  </si>
  <si>
    <t>KIR Family</t>
  </si>
  <si>
    <t>FCGR2A/B</t>
  </si>
  <si>
    <t>IFNL2</t>
  </si>
  <si>
    <t>PTPN11</t>
  </si>
  <si>
    <t>LILRA1</t>
  </si>
  <si>
    <t>CCL20</t>
  </si>
  <si>
    <t>MAGEC1</t>
  </si>
  <si>
    <t>SSX4</t>
  </si>
  <si>
    <t>LILRB2</t>
  </si>
  <si>
    <t>XCL1/2</t>
  </si>
  <si>
    <t>CXCL1</t>
  </si>
  <si>
    <t>DIPK2B</t>
  </si>
  <si>
    <t>STK11IP</t>
  </si>
  <si>
    <t>TRBC1/2</t>
  </si>
  <si>
    <t>HSD11B1</t>
  </si>
  <si>
    <t>CXCL3</t>
  </si>
  <si>
    <t>API5</t>
  </si>
  <si>
    <t>IL11RA</t>
  </si>
  <si>
    <t>ICAM1</t>
  </si>
  <si>
    <t>NDUFA3</t>
  </si>
  <si>
    <t>CSF1</t>
  </si>
  <si>
    <t>TFDP1</t>
  </si>
  <si>
    <t>AQP9</t>
  </si>
  <si>
    <t>IL1B</t>
  </si>
  <si>
    <t>CSF3R</t>
  </si>
  <si>
    <t>EIF5AL1</t>
  </si>
  <si>
    <t>TMEM140</t>
  </si>
  <si>
    <t>SAA1</t>
  </si>
  <si>
    <t>CSF2RB</t>
  </si>
  <si>
    <t>CXCL5</t>
  </si>
  <si>
    <t>VCAM1</t>
  </si>
  <si>
    <t>RPS6KB1</t>
  </si>
  <si>
    <t>PDCD1</t>
  </si>
  <si>
    <t>FGF8</t>
  </si>
  <si>
    <t>CREB5</t>
  </si>
  <si>
    <t>HMGB1</t>
  </si>
  <si>
    <t>RIPK2</t>
  </si>
  <si>
    <t>CLEC4E</t>
  </si>
  <si>
    <t>CTAG1B</t>
  </si>
  <si>
    <t>TRAF1</t>
  </si>
  <si>
    <t>RRAS2</t>
  </si>
  <si>
    <t>NFKB2</t>
  </si>
  <si>
    <t>NFKB1</t>
  </si>
  <si>
    <t>LIF</t>
  </si>
  <si>
    <t>LTF</t>
  </si>
  <si>
    <t>TCL1B</t>
  </si>
  <si>
    <t>DMBT1</t>
  </si>
  <si>
    <t>CX3CL1</t>
  </si>
  <si>
    <t>MAPK8IP2</t>
  </si>
  <si>
    <t>IFIH1</t>
  </si>
  <si>
    <t>MASP2</t>
  </si>
  <si>
    <t>TNKS</t>
  </si>
  <si>
    <t>SGK1</t>
  </si>
  <si>
    <t>EPHA2</t>
  </si>
  <si>
    <t>CAPN2</t>
  </si>
  <si>
    <t>LAMA3</t>
  </si>
  <si>
    <t>POLR2A</t>
  </si>
  <si>
    <t>HK2</t>
  </si>
  <si>
    <t>ACTB</t>
  </si>
  <si>
    <t>ALDOA</t>
  </si>
  <si>
    <t>NR4A1</t>
  </si>
  <si>
    <t>MIF</t>
  </si>
  <si>
    <t>ATP5F1D</t>
  </si>
  <si>
    <t>HLA-A</t>
  </si>
  <si>
    <t>PPL</t>
  </si>
  <si>
    <t>FLNB</t>
  </si>
  <si>
    <t>GPI</t>
  </si>
  <si>
    <t>CD9</t>
  </si>
  <si>
    <t>KRT7</t>
  </si>
  <si>
    <t>SLC2A1</t>
  </si>
  <si>
    <t>MFGE8</t>
  </si>
  <si>
    <t>CRABP2</t>
  </si>
  <si>
    <t>CD24</t>
  </si>
  <si>
    <t>JUN</t>
  </si>
  <si>
    <t>PKM</t>
  </si>
  <si>
    <t>IFITM1</t>
  </si>
  <si>
    <t>CD81</t>
  </si>
  <si>
    <t>DUSP1</t>
  </si>
  <si>
    <t>THBS1</t>
  </si>
  <si>
    <t>HSPA2</t>
  </si>
  <si>
    <t>HES1</t>
  </si>
  <si>
    <t>SOX9</t>
  </si>
  <si>
    <t>ITGA3</t>
  </si>
  <si>
    <t>FLNC</t>
  </si>
  <si>
    <t>FOS</t>
  </si>
  <si>
    <t>ANGPTL4</t>
  </si>
  <si>
    <t>FLNA</t>
  </si>
  <si>
    <t>PFKFB3</t>
  </si>
  <si>
    <t>VEGFA</t>
  </si>
  <si>
    <t>ADM</t>
  </si>
  <si>
    <t>KRT19</t>
  </si>
  <si>
    <t>TPI1</t>
  </si>
  <si>
    <t>CD68</t>
  </si>
  <si>
    <t>CD55</t>
  </si>
  <si>
    <t>CDKN1C</t>
  </si>
  <si>
    <t>RRAD</t>
  </si>
  <si>
    <t>MUC1</t>
  </si>
  <si>
    <t>ID2</t>
  </si>
  <si>
    <t>DDIT4</t>
  </si>
  <si>
    <t>CXCR4</t>
  </si>
  <si>
    <t>GADD45G</t>
  </si>
  <si>
    <t>GADD45B</t>
  </si>
  <si>
    <t>EGR1</t>
  </si>
  <si>
    <t>HSPA6</t>
  </si>
  <si>
    <t>REL</t>
  </si>
  <si>
    <t>HSPA1A</t>
  </si>
  <si>
    <t>DUSP8</t>
  </si>
  <si>
    <t>CYLD</t>
  </si>
  <si>
    <t>EGR2</t>
  </si>
  <si>
    <t>IRF1</t>
  </si>
  <si>
    <t>TNF</t>
  </si>
  <si>
    <t>ITGB8</t>
  </si>
  <si>
    <t>NFKBIA</t>
  </si>
  <si>
    <t>DUSP2</t>
  </si>
  <si>
    <t>EDN1</t>
  </si>
  <si>
    <t>IL32</t>
  </si>
  <si>
    <t>FOSL1</t>
  </si>
  <si>
    <t>SPIB</t>
  </si>
  <si>
    <t>TANK</t>
  </si>
  <si>
    <t>COX6B1</t>
  </si>
  <si>
    <t>MX1</t>
  </si>
  <si>
    <t>ITGB6</t>
  </si>
  <si>
    <t>IDH2</t>
  </si>
  <si>
    <t>PDZK1IP1</t>
  </si>
  <si>
    <t>LY6E</t>
  </si>
  <si>
    <t>STC1</t>
  </si>
  <si>
    <t>LCN2</t>
  </si>
  <si>
    <t>MMP7</t>
  </si>
  <si>
    <t>IRF7</t>
  </si>
  <si>
    <t>p-value</t>
  </si>
  <si>
    <t>q-value</t>
  </si>
  <si>
    <t>pathway</t>
  </si>
  <si>
    <t>source</t>
  </si>
  <si>
    <t>external_id</t>
  </si>
  <si>
    <t>members_input_overlap</t>
  </si>
  <si>
    <t>members_input_overlap_geneids</t>
  </si>
  <si>
    <t>size</t>
  </si>
  <si>
    <t>effective_size</t>
  </si>
  <si>
    <t>Chemokine receptors bind chemokines</t>
  </si>
  <si>
    <t>Reactome</t>
  </si>
  <si>
    <t>R-HSA-380108</t>
  </si>
  <si>
    <t>CXCL1; CCL2; CXCL3; CXCL2; CXCL5; CXCL8; CXCL10; CCL20</t>
  </si>
  <si>
    <t>6364; 6374; 3576; 2919; 3627; 2920; 2921; 6347</t>
  </si>
  <si>
    <t>Signal Transduction</t>
  </si>
  <si>
    <t>R-HSA-162582</t>
  </si>
  <si>
    <t>CCL2; NFKBIA; EPHA2; RIPK2; EGR2; EGR1; JUN; FOSL1; DUSP8; EDN1; CCL20; DUSP2; FOS; TNF; IL32; NFKB1; CXCL10; CXCL1; CXCL3; CXCL2; CXCL5; CXCL8; CYLD</t>
  </si>
  <si>
    <t>1850; 1540; 4790; 7124; 2919; 4792; 6364; 2921; 6347; 1959; 1844; 2920; 1958; 3576; 3627; 8061; 2353; 3725; 6374; 9235; 8767; 1969; 1906</t>
  </si>
  <si>
    <t>Peptide ligand-binding receptors</t>
  </si>
  <si>
    <t>R-HSA-375276</t>
  </si>
  <si>
    <t>CXCL1; CCL2; CXCL3; CXCL2; CXCL5; CXCL8; CXCL10; EDN1; CCL20</t>
  </si>
  <si>
    <t>2919; 2921; 6347; 3576; 2920; 6364; 6374; 1906; 3627</t>
  </si>
  <si>
    <t>Toll Like Receptor 3 (TLR3) Cascade</t>
  </si>
  <si>
    <t>R-HSA-168164</t>
  </si>
  <si>
    <t>TANK; FOS; NFKBIA; JUN; RIPK2; NFKB1; NFKB2</t>
  </si>
  <si>
    <t>10010; 3725; 4790; 2353; 4792; 8767; 4791</t>
  </si>
  <si>
    <t xml:space="preserve">TRIF(TICAM1)-mediated TLR4 signaling </t>
  </si>
  <si>
    <t>R-HSA-937061</t>
  </si>
  <si>
    <t xml:space="preserve">MyD88-independent TLR4 cascade </t>
  </si>
  <si>
    <t>R-HSA-166166</t>
  </si>
  <si>
    <t>Toll Like Receptor 4 (TLR4) Cascade</t>
  </si>
  <si>
    <t>R-HSA-166016</t>
  </si>
  <si>
    <t>Cytokine Signaling in Immune system</t>
  </si>
  <si>
    <t>R-HSA-1280215</t>
  </si>
  <si>
    <t>IRF1; EGR1; FOS; NFKBIA; JUN; RIPK2; IL32; ICAM1; NFKB1; NFKB2; TNF</t>
  </si>
  <si>
    <t>4792; 8767; 2353; 9235; 3725; 4790; 3383; 7124; 3659; 1958; 4791</t>
  </si>
  <si>
    <t>Toll-like Receptor Cascades</t>
  </si>
  <si>
    <t>R-HSA-168898</t>
  </si>
  <si>
    <t>MyD88 cascade initiated on plasma membrane</t>
  </si>
  <si>
    <t>R-HSA-975871</t>
  </si>
  <si>
    <t>FOS; NFKBIA; JUN; RIPK2; NFKB1; NFKB2</t>
  </si>
  <si>
    <t>3725; 4790; 8767; 2353; 4792; 4791</t>
  </si>
  <si>
    <t>Class A/1 (Rhodopsin-like receptors)</t>
  </si>
  <si>
    <t>R-HSA-373076</t>
  </si>
  <si>
    <t>Immune System</t>
  </si>
  <si>
    <t>R-HSA-168256</t>
  </si>
  <si>
    <t>Signaling by Interleukins</t>
  </si>
  <si>
    <t>R-HSA-449147</t>
  </si>
  <si>
    <t>GPCR ligand binding</t>
  </si>
  <si>
    <t>R-HSA-500792</t>
  </si>
  <si>
    <t>NGF-stimulated transcription</t>
  </si>
  <si>
    <t>R-HSA-9031628</t>
  </si>
  <si>
    <t>TRAF6 mediated NF-kB activation</t>
  </si>
  <si>
    <t>R-HSA-933542</t>
  </si>
  <si>
    <t>G alpha (i) signalling events</t>
  </si>
  <si>
    <t>R-HSA-418594</t>
  </si>
  <si>
    <t>Nuclear Events (kinase and transcription factor activation)</t>
  </si>
  <si>
    <t>R-HSA-198725</t>
  </si>
  <si>
    <t>Innate Immune System</t>
  </si>
  <si>
    <t>R-HSA-168249</t>
  </si>
  <si>
    <t>Signaling by GPCR</t>
  </si>
  <si>
    <t>R-HSA-372790</t>
  </si>
  <si>
    <t>Activation of the AP-1 family of transcription factors</t>
  </si>
  <si>
    <t>R-HSA-450341</t>
  </si>
  <si>
    <t>JUN; FOS</t>
  </si>
  <si>
    <t>3725; 2353</t>
  </si>
  <si>
    <t>Interferon Signaling</t>
  </si>
  <si>
    <t>R-HSA-913531</t>
  </si>
  <si>
    <t>TNF signaling pathway - Homo sapiens (human)</t>
  </si>
  <si>
    <t>KEGG</t>
  </si>
  <si>
    <t>path:hsa04668</t>
  </si>
  <si>
    <t>CXCL1; CCL2; IRF1; CXCL2; CXCL5; FOS; CREB5; NFKBIA; JUN; CXCL3; TNF; ICAM1; NFKB1; EDN1; CXCL10; CCL20</t>
  </si>
  <si>
    <t>3627; 3659; 2919; 3725; 1906; 4790; 4792; 6347; 6364; 6374; 2353; 3383; 2920; 2921; 9586; 7124</t>
  </si>
  <si>
    <t>IL-17 signaling pathway - Homo sapiens (human)</t>
  </si>
  <si>
    <t>path:hsa04657</t>
  </si>
  <si>
    <t>CCL2; CXCL1; CXCL3; CXCL2; CXCL5; FOS; CXCL8; NFKBIA; JUN; NFKB1; TNF; FOSL1; CCL20; CXCL10</t>
  </si>
  <si>
    <t>3627; 3725; 4790; 4792; 6347; 6364; 6374; 2353; 2919; 2920; 2921; 8061; 7124; 3576</t>
  </si>
  <si>
    <t>Lipid and atherosclerosis - Homo sapiens (human)</t>
  </si>
  <si>
    <t>path:hsa05417</t>
  </si>
  <si>
    <t>CCL2; CXCL1; CXCL3; CXCL2; TANK; HSPA6; FOS; CXCL8; NFKBIA; JUN; HSPA1A; TNF; ICAM1; NFKB1</t>
  </si>
  <si>
    <t>3725; 4790; 4792; 6347; 3303; 10010; 2353; 3383; 2919; 2920; 2921; 3310; 7124; 3576</t>
  </si>
  <si>
    <t>Legionellosis - Homo sapiens (human)</t>
  </si>
  <si>
    <t>path:hsa05134</t>
  </si>
  <si>
    <t>CXCL1; CXCL3; CXCL2; HSPA6; CXCL8; NFKBIA; HSPA1A; TNF; NFKB1; NFKB2</t>
  </si>
  <si>
    <t>2921; 7124; 4790; 4791; 4792; 2920; 3303; 2919; 3310; 3576</t>
  </si>
  <si>
    <t>Rheumatoid arthritis - Homo sapiens (human)</t>
  </si>
  <si>
    <t>path:hsa05323</t>
  </si>
  <si>
    <t>CCL2; CXCL1; CXCL3; CXCL2; CXCL5; FOS; CXCL8; JUN; TNF; ICAM1; CCL20</t>
  </si>
  <si>
    <t>3725; 6347; 6364; 6374; 2353; 3383; 2919; 2920; 2921; 7124; 3576</t>
  </si>
  <si>
    <t>Viral protein interaction with cytokine and cytokine receptor - Homo sapiens (human)</t>
  </si>
  <si>
    <t>path:hsa04061</t>
  </si>
  <si>
    <t>CCL2; CXCL1; CXCL3; CXCL2; CXCL5; CCL18; CXCL8; TNF; CCL20; CXCL10</t>
  </si>
  <si>
    <t>3627; 6347; 6362; 6364; 6374; 2919; 2920; 2921; 7124; 3576</t>
  </si>
  <si>
    <t>NF-kappa B signaling pathway - Homo sapiens (human)</t>
  </si>
  <si>
    <t>path:hsa04064</t>
  </si>
  <si>
    <t>CXCL1; CXCL3; CXCL2; CXCL8; NFKBIA; TNF; CYLD; ICAM1; NFKB1; NFKB2</t>
  </si>
  <si>
    <t>1540; 4791; 2920; 4790; 4792; 7124; 3383; 2919; 2921; 3576</t>
  </si>
  <si>
    <t>NOD-like receptor signaling pathway - Homo sapiens (human)</t>
  </si>
  <si>
    <t>path:hsa04621</t>
  </si>
  <si>
    <t>CCL2; CXCL1; CXCL3; CXCL2; TANK; CXCL8; NFKBIA; JUN; RIPK2; NFKB1; TNF</t>
  </si>
  <si>
    <t>8767; 3725; 4790; 4792; 6347; 10010; 2919; 2920; 2921; 7124; 3576</t>
  </si>
  <si>
    <t>Chemokine signaling pathway - Homo sapiens (human)</t>
  </si>
  <si>
    <t>path:hsa04062</t>
  </si>
  <si>
    <t>CCL2; CXCL1; CXCL3; CXCL2; CXCL5; CCL18; CXCL8; NFKBIA; NFKB1; CCL20; CXCL10</t>
  </si>
  <si>
    <t>3627; 4790; 4792; 6347; 6362; 6364; 6374; 2919; 2920; 2921; 3576</t>
  </si>
  <si>
    <t>Cytokine-cytokine receptor interaction - Homo sapiens (human)</t>
  </si>
  <si>
    <t>path:hsa04060</t>
  </si>
  <si>
    <t>Epithelial cell signaling in Helicobacter pylori infection - Homo sapiens (human)</t>
  </si>
  <si>
    <t>path:hsa05120</t>
  </si>
  <si>
    <t>MAPK signaling pathway - Homo sapiens (human)</t>
  </si>
  <si>
    <t>path:hsa04010</t>
  </si>
  <si>
    <t>Fluid shear stress and atherosclerosis - Homo sapiens (human)</t>
  </si>
  <si>
    <t>path:hsa05418</t>
  </si>
  <si>
    <t>Apoptosis - Homo sapiens (human)</t>
  </si>
  <si>
    <t>path:hsa04210</t>
  </si>
  <si>
    <t>Pathways in cancer - Homo sapiens (human)</t>
  </si>
  <si>
    <t>path:hsa05200</t>
  </si>
  <si>
    <t>Glycolysis</t>
  </si>
  <si>
    <t>R-HSA-70171</t>
  </si>
  <si>
    <t>ALDOA; HK2; GPI</t>
  </si>
  <si>
    <t>226; 2821; 3099</t>
  </si>
  <si>
    <t>Interferon alpha/beta signaling</t>
  </si>
  <si>
    <t>R-HSA-909733</t>
  </si>
  <si>
    <t>IFITM1; IRF7; MX1</t>
  </si>
  <si>
    <t>3665; 8519; 4599</t>
  </si>
  <si>
    <t>TP53 Regulates Metabolic Genes</t>
  </si>
  <si>
    <t>R-HSA-5628897</t>
  </si>
  <si>
    <t>COX6B1; DDIT4; GPI</t>
  </si>
  <si>
    <t>54541; 2821; 1340</t>
  </si>
  <si>
    <t>Glucose metabolism</t>
  </si>
  <si>
    <t>R-HSA-70326</t>
  </si>
  <si>
    <t>HK2; ALDOA; GPI</t>
  </si>
  <si>
    <t>3099; 2821; 226</t>
  </si>
  <si>
    <t>Neutrophil degranulation</t>
  </si>
  <si>
    <t>R-HSA-6798695</t>
  </si>
  <si>
    <t>ALDOA; CD68; LCN2; GPI; MIF</t>
  </si>
  <si>
    <t>4282; 2821; 3934; 968; 226</t>
  </si>
  <si>
    <t>Gluconeogenesis</t>
  </si>
  <si>
    <t>R-HSA-70263</t>
  </si>
  <si>
    <t>ALDOA; GPI</t>
  </si>
  <si>
    <t>226; 2821</t>
  </si>
  <si>
    <t>8519; 3665; 4599</t>
  </si>
  <si>
    <t>IFITM1; IRF7; GPI; LCN2; MX1; MIF; ALDOA; CD68</t>
  </si>
  <si>
    <t>8519; 968; 3665; 226; 2821; 4282; 4599; 3934</t>
  </si>
  <si>
    <t>IRF7; GPI; LCN2; CD68; ALDOA; MIF</t>
  </si>
  <si>
    <t>4282; 2821; 3934; 3665; 968; 226</t>
  </si>
  <si>
    <t>Metabolism of carbohydrates</t>
  </si>
  <si>
    <t>R-HSA-71387</t>
  </si>
  <si>
    <t>2821; 3099; 226</t>
  </si>
  <si>
    <t>Glycolysis / Gluconeogenesis - Homo sapiens (human)</t>
  </si>
  <si>
    <t>path:hsa00010</t>
  </si>
  <si>
    <t>Pentose phosphate pathway - Homo sapiens (human)</t>
  </si>
  <si>
    <t>path:hsa00030</t>
  </si>
  <si>
    <t>2821; 226</t>
  </si>
  <si>
    <t>Fructose and mannose metabolism - Homo sapiens (human)</t>
  </si>
  <si>
    <t>path:hsa00051</t>
  </si>
  <si>
    <t>HK2; ALDOA</t>
  </si>
  <si>
    <t>3099; 226</t>
  </si>
  <si>
    <t>Starch and sucrose metabolism - Homo sapiens (human)</t>
  </si>
  <si>
    <t>path:hsa00500</t>
  </si>
  <si>
    <t>HK2; GPI</t>
  </si>
  <si>
    <t>3099; 2821</t>
  </si>
  <si>
    <t>Amino sugar and nucleotide sugar metabolism - Homo sapiens (human)</t>
  </si>
  <si>
    <t>path:hsa00520</t>
  </si>
  <si>
    <t>2821; 3099</t>
  </si>
  <si>
    <t>Central carbon metabolism in cancer - Homo sapiens (human)</t>
  </si>
  <si>
    <t>path:hsa05230</t>
  </si>
  <si>
    <t>HK2; IDH2</t>
  </si>
  <si>
    <t>3099; 3418</t>
  </si>
  <si>
    <t>CXCL1; CCL2; CXCL3; CXCL2; CXCL5; CXCL8; XCR1; CX3CL1; CXCL10; CXCL11; CCL20</t>
  </si>
  <si>
    <t>2829; 6364; 6374; 3576; 2919; 6373; 3627; 2920; 2921; 6347; 6376</t>
  </si>
  <si>
    <t>CXCL1; CCL2; CXCL3; CXCL2; CXCL5; CXCL8; XCR1; SAA1; CX3CL1; CXCL10; CXCL11; CCL20</t>
  </si>
  <si>
    <t>2919; 6288; 2921; 6347; 3576; 2920; 6364; 6374; 6373; 6376; 2829; 3627</t>
  </si>
  <si>
    <t>CSF2RB; LIF; HMGB1; IFIH1; SAA1; RIPK2; FCGR1A; IL1B; LILRB2; ICAM1; NFKB1; NFKB2; VCAM1; STK11IP; PDCD1; LTF; CSF3R; UBE2C; CXCL1; PTPN11; CSF1; MASP2; IL11RA; CLEC4E; LILRA1</t>
  </si>
  <si>
    <t>3553; 1435; 10747; 3146; 4790; 114790; 2919; 11065; 3976; 6288; 26253; 1439; 5133; 2209; 4057; 3590; 7412; 5781; 8767; 1441; 3383; 11024; 10288; 64135; 4791</t>
  </si>
  <si>
    <t>CCL2; CXCL1; CXCL3; CXCL2; CXCL5; CXCL8; XCR1; SAA1; CXCL11; CCL20; CX3CL1; CXCL10</t>
  </si>
  <si>
    <t>6288; 3576; 6376; 6364; 3627; 2921; 6347; 2829; 6374; 2919; 2920; 6373</t>
  </si>
  <si>
    <t>CSF2RB; LIF; ICAM1; FCGR1A; PTPN11; CSF1; RIPK2; VCAM1; CSF3R; IL11RA; NFKB1; IL1B; NFKB2</t>
  </si>
  <si>
    <t>3976; 3553; 1435; 2209; 8767; 1441; 4790; 3590; 3383; 7412; 1439; 5781; 4791</t>
  </si>
  <si>
    <t>CSF2RB; LIF; PTPN11; CSF1; RIPK2; CSF3R; IL11RA; NFKB1; IL1B; NFKB2</t>
  </si>
  <si>
    <t>1441; 3976; 1439; 4790; 3553; 5781; 3590; 1435; 8767; 4791</t>
  </si>
  <si>
    <t>CXCL1; CXCL3; CXCL2; CXCL5; CXCL8; SAA1; CX3CL1; CXCL10; CXCL11; CCL20</t>
  </si>
  <si>
    <t>2919; 6288; 2921; 3576; 2920; 6374; 6373; 6376; 6364; 3627</t>
  </si>
  <si>
    <t>NFKB1; IFIH1; NFKB2</t>
  </si>
  <si>
    <t>64135; 4790; 4791</t>
  </si>
  <si>
    <t>CXCL1; TRAF1; CXCL3; CXCL2; CXCL5; ICAM1; CREB5; LIF; CSF1; VCAM1; CXCL10; CCL20; CX3CL1; NFKB1; CCL2; IL1B</t>
  </si>
  <si>
    <t>7185; 3627; 2919; 4790; 6347; 6364; 6374; 6376; 7412; 3383; 2920; 2921; 9586; 3976; 1435; 3553</t>
  </si>
  <si>
    <t>CCL2; CXCL1; CXCL3; CXCL2; CXCL5; CCL15; IFNL2; CCL18; CXCL8; CSF2RB; XCR1; LIF; CSF1; CXCL11; CSF3R; CCL20; IL11RA; CXCL10; IL1B; CX3CL1</t>
  </si>
  <si>
    <t>3590; 3627; 2829; 6347; 6359; 6362; 6364; 6373; 6374; 6376; 2919; 2920; 2921; 3976; 282616; 1435; 1439; 1441; 3553; 3576</t>
  </si>
  <si>
    <t>CCL2; CXCL1; CXCL3; CXCL2; CXCL5; CCL15; CCL18; CXCL8; XCR1; CSF1; CX3CL1; CCL20; CXCL11; CXCL10</t>
  </si>
  <si>
    <t>3627; 6347; 6359; 6362; 6364; 6373; 6374; 6376; 2829; 2919; 2920; 2921; 1435; 3576</t>
  </si>
  <si>
    <t>CCL2; CXCL1; CXCL3; CXCL2; CXCL5; CCL15; CCL18; CXCL8; XCR1; NFKB1; CX3CL1; CCL20; CXCL11; CXCL10</t>
  </si>
  <si>
    <t>3627; 4790; 6347; 6359; 6362; 6364; 6373; 6374; 6376; 2829; 2919; 2920; 2921; 3576</t>
  </si>
  <si>
    <t>CCL2; CXCL1; CXCL3; CXCL2; CXCL5; CXCL8; CSF1; ICAM1; CCL20; IL1B</t>
  </si>
  <si>
    <t>6347; 6364; 6374; 3383; 2919; 2920; 2921; 1435; 3553; 3576</t>
  </si>
  <si>
    <t>CCL2; CXCL1; CXCL3; CXCL2; CXCL5; CXCL8; NFKB1; CCL20; CXCL10; IL1B</t>
  </si>
  <si>
    <t>3627; 4790; 6347; 6364; 6374; 3553; 2919; 2920; 2921; 3576</t>
  </si>
  <si>
    <t>CXCL1; TRAF1; CXCL3; CXCL2; CXCL8; VCAM1; ICAM1; NFKB1; NFKB2; IL1B</t>
  </si>
  <si>
    <t>7185; 4791; 2920; 4790; 3383; 2919; 2921; 7412; 3553; 3576</t>
  </si>
  <si>
    <t>CXCL1; CXCL3; CXCL2; CXCL8; NFKB1; NFKB2; IL1B</t>
  </si>
  <si>
    <t>2921; 4790; 4791; 3553; 2920; 2919; 3576</t>
  </si>
  <si>
    <t>CCL2; CXCL1; CXCL3; CXCL2; CXCL8; VCAM1; ICAM1; NFKB1; IL1B</t>
  </si>
  <si>
    <t>4790; 6347; 7412; 3383; 2919; 2920; 2921; 3553; 3576</t>
  </si>
  <si>
    <t>CXCL1; CXCL3; CXCL2; CXCL8; PTPN11; NFKB1</t>
  </si>
  <si>
    <t>5781; 4790; 2919; 2920; 2921; 3576</t>
  </si>
  <si>
    <t>PI3K-Akt signaling pathway - Homo sapiens (human)</t>
  </si>
  <si>
    <t>path:hsa04151</t>
  </si>
  <si>
    <t>Proteoglycans in cancer - Homo sapiens (human)</t>
  </si>
  <si>
    <t>path:hsa05205</t>
  </si>
  <si>
    <t>GPI; HK2; PFKFB3; TPI1; ALDOA; PKM</t>
  </si>
  <si>
    <t>226; 5315; 7167; 5209; 2821; 3099</t>
  </si>
  <si>
    <t>3099; 2821; 7167; 5315; 226; 5209</t>
  </si>
  <si>
    <t>FOS; ID2; SGK1; RRAD</t>
  </si>
  <si>
    <t>6446; 3398; 6236; 2353</t>
  </si>
  <si>
    <t>GPI; HK2; PFKFB3; SLC2A1; TPI1; ALDOA; PKM</t>
  </si>
  <si>
    <t>2821; 3099; 5209; 5315; 6513; 226; 7167</t>
  </si>
  <si>
    <t xml:space="preserve">Platelet degranulation </t>
  </si>
  <si>
    <t>R-HSA-114608</t>
  </si>
  <si>
    <t>ALDOA; FLNA; VEGFA; CD9; THBS1</t>
  </si>
  <si>
    <t>2316; 7422; 7057; 928; 226</t>
  </si>
  <si>
    <t>Response to elevated platelet cytosolic Ca2+</t>
  </si>
  <si>
    <t>R-HSA-76005</t>
  </si>
  <si>
    <t>ALDOA; TPI1; GPI</t>
  </si>
  <si>
    <t>226; 7167; 2821</t>
  </si>
  <si>
    <t>GPI; FOS; CD81; HLA-A; CD55; JUN; MIF; ALDOA; ACTB; CD68; MUC1; PKM</t>
  </si>
  <si>
    <t>4282; 2821; 2353; 60; 5315; 3105; 3725; 1604; 968; 4582; 975; 226</t>
  </si>
  <si>
    <t>IFITM1; GPI; ACTB; FOS; CD81; MUC1; CD55; JUN; MIF; CD68; ALDOA; FLNA; FLNB; PPL; HLA-A; PKM</t>
  </si>
  <si>
    <t>8519; 968; 4582; 226; 2821; 2317; 2353; 3105; 3725; 5493; 2316; 975; 4282; 60; 5315; 1604</t>
  </si>
  <si>
    <t>CRABP2; NR4A1; VEGFA; CXCR4; SGK1; FOS; JUN; RRAD; ID2; EPHA2; THBS1; SOX9; POLR2A; CD55; FLNA; HES1; ACTB; ADM; DUSP1</t>
  </si>
  <si>
    <t>1843; 133; 6446; 3280; 5430; 3398; 6662; 2353; 3725; 2316; 6236; 7422; 7057; 60; 3164; 7852; 1382; 1604; 1969</t>
  </si>
  <si>
    <t>HSPA2; FOS; GADD45B; NR4A1; JUN; EPHA2; GADD45G; VEGFA; FLNA; FLNB; FLNC; DUSP1</t>
  </si>
  <si>
    <t>4616; 1843; 2317; 2318; 3164; 3725; 10912; 3306; 7422; 2316; 2353; 1969</t>
  </si>
  <si>
    <t>Focal adhesion - Homo sapiens (human)</t>
  </si>
  <si>
    <t>path:hsa04510</t>
  </si>
  <si>
    <t>LAMA3; ITGA3; JUN; THBS1; VEGFA; CAPN2; FLNA; ACTB; FLNC; FLNB</t>
  </si>
  <si>
    <t>60; 2316; 2318; 3675; 3725; 7422; 824; 3909; 7057; 2317</t>
  </si>
  <si>
    <t>HK2; ALDOA; TPI1; GPI; PKM</t>
  </si>
  <si>
    <t>2821; 3099; 5315; 226; 7167</t>
  </si>
  <si>
    <t>HK2; ALDOA; PFKFB3; TPI1</t>
  </si>
  <si>
    <t>3099; 5209; 226; 7167</t>
  </si>
  <si>
    <t>FOS; GADD45B; JUN; GADD45G; CAPN2; ACTB</t>
  </si>
  <si>
    <t>4616; 60; 10912; 2353; 824; 3725</t>
  </si>
  <si>
    <t>LAMA3; FOS; GADD45B; ITGA3; JUN; SLC2A1; GADD45G; VEGFA; CXCR4; HES1</t>
  </si>
  <si>
    <t>6513; 2353; 4616; 10912; 3280; 7422; 3675; 3725; 7852; 3909</t>
  </si>
  <si>
    <t>NR4A1; DDIT4; SGK1; ITGA3; EPHA2; THBS1; LAMA3; VEGFA</t>
  </si>
  <si>
    <t>6446; 7057; 3164; 1969; 54541; 3675; 7422; 3909</t>
  </si>
  <si>
    <t>HIF-1 signaling pathway - Homo sapiens (human)</t>
  </si>
  <si>
    <t>path:hsa04066</t>
  </si>
  <si>
    <t>HK2; ALDOA; PFKFB3; VEGFA; SLC2A1</t>
  </si>
  <si>
    <t>3099; 5209; 226; 7422; 6513</t>
  </si>
  <si>
    <t>THBS1; VEGFA; FLNA; ACTB; FLNC; FLNB</t>
  </si>
  <si>
    <t>60; 7422; 2316; 2317; 2318; 7057</t>
  </si>
  <si>
    <t>DUSP1; ACTB; VEGFA; JUN; FOS</t>
  </si>
  <si>
    <t>60; 3725; 2353; 1843; 7422</t>
  </si>
  <si>
    <t>nGenes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</si>
</sst>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63DA-A925-4AA2-84A8-A26A736B1659}">
  <dimension ref="A1:D69"/>
  <sheetViews>
    <sheetView workbookViewId="0">
      <selection activeCell="B1" sqref="B1:B1048576"/>
    </sheetView>
  </sheetViews>
  <sheetFormatPr defaultRowHeight="15" x14ac:dyDescent="0.25"/>
  <cols>
    <col min="1" max="1" width="22.140625" bestFit="1" customWidth="1"/>
    <col min="2" max="2" width="25.7109375" bestFit="1" customWidth="1"/>
    <col min="3" max="3" width="20" bestFit="1" customWidth="1"/>
    <col min="4" max="4" width="2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72</v>
      </c>
      <c r="C2" s="1" t="s">
        <v>122</v>
      </c>
      <c r="D2" s="2" t="s">
        <v>139</v>
      </c>
    </row>
    <row r="3" spans="1:4" x14ac:dyDescent="0.25">
      <c r="A3" s="1" t="s">
        <v>5</v>
      </c>
      <c r="B3" s="2" t="s">
        <v>73</v>
      </c>
      <c r="C3" s="1" t="s">
        <v>4</v>
      </c>
      <c r="D3" s="2" t="s">
        <v>140</v>
      </c>
    </row>
    <row r="4" spans="1:4" x14ac:dyDescent="0.25">
      <c r="A4" s="1" t="s">
        <v>6</v>
      </c>
      <c r="B4" s="2" t="s">
        <v>74</v>
      </c>
      <c r="C4" s="1" t="s">
        <v>6</v>
      </c>
      <c r="D4" s="2" t="s">
        <v>79</v>
      </c>
    </row>
    <row r="5" spans="1:4" x14ac:dyDescent="0.25">
      <c r="A5" s="1" t="s">
        <v>7</v>
      </c>
      <c r="B5" s="2" t="s">
        <v>75</v>
      </c>
      <c r="C5" s="1" t="s">
        <v>25</v>
      </c>
      <c r="D5" s="2" t="s">
        <v>141</v>
      </c>
    </row>
    <row r="6" spans="1:4" x14ac:dyDescent="0.25">
      <c r="A6" s="1" t="s">
        <v>8</v>
      </c>
      <c r="B6" s="2" t="s">
        <v>76</v>
      </c>
      <c r="C6" s="1" t="s">
        <v>123</v>
      </c>
      <c r="D6" s="2" t="s">
        <v>142</v>
      </c>
    </row>
    <row r="7" spans="1:4" x14ac:dyDescent="0.25">
      <c r="A7" s="1" t="s">
        <v>9</v>
      </c>
      <c r="B7" s="2" t="s">
        <v>77</v>
      </c>
      <c r="C7" s="1" t="s">
        <v>11</v>
      </c>
      <c r="D7" s="2" t="s">
        <v>143</v>
      </c>
    </row>
    <row r="8" spans="1:4" x14ac:dyDescent="0.25">
      <c r="A8" s="1" t="s">
        <v>10</v>
      </c>
      <c r="B8" s="2" t="s">
        <v>78</v>
      </c>
      <c r="C8" s="1" t="s">
        <v>7</v>
      </c>
      <c r="D8" s="2" t="s">
        <v>81</v>
      </c>
    </row>
    <row r="9" spans="1:4" x14ac:dyDescent="0.25">
      <c r="A9" s="1" t="s">
        <v>11</v>
      </c>
      <c r="B9" s="2" t="s">
        <v>79</v>
      </c>
      <c r="C9" s="1" t="s">
        <v>5</v>
      </c>
      <c r="D9" s="2" t="s">
        <v>77</v>
      </c>
    </row>
    <row r="10" spans="1:4" x14ac:dyDescent="0.25">
      <c r="A10" s="1" t="s">
        <v>12</v>
      </c>
      <c r="B10" s="2" t="s">
        <v>80</v>
      </c>
      <c r="C10" s="1" t="s">
        <v>35</v>
      </c>
      <c r="D10" s="2" t="s">
        <v>110</v>
      </c>
    </row>
    <row r="11" spans="1:4" x14ac:dyDescent="0.25">
      <c r="A11" s="1" t="s">
        <v>13</v>
      </c>
      <c r="B11" s="2" t="s">
        <v>81</v>
      </c>
      <c r="C11" s="1" t="s">
        <v>104</v>
      </c>
      <c r="D11" s="2" t="s">
        <v>144</v>
      </c>
    </row>
    <row r="12" spans="1:4" x14ac:dyDescent="0.25">
      <c r="A12" s="1" t="s">
        <v>14</v>
      </c>
      <c r="B12" s="2" t="s">
        <v>82</v>
      </c>
      <c r="C12" s="1" t="s">
        <v>18</v>
      </c>
      <c r="D12" s="2" t="s">
        <v>145</v>
      </c>
    </row>
    <row r="13" spans="1:4" x14ac:dyDescent="0.25">
      <c r="A13" s="1" t="s">
        <v>15</v>
      </c>
      <c r="B13" s="2" t="s">
        <v>83</v>
      </c>
      <c r="C13" s="1" t="s">
        <v>54</v>
      </c>
      <c r="D13" s="2" t="s">
        <v>114</v>
      </c>
    </row>
    <row r="14" spans="1:4" x14ac:dyDescent="0.25">
      <c r="A14" s="1" t="s">
        <v>16</v>
      </c>
      <c r="B14" s="2" t="s">
        <v>84</v>
      </c>
      <c r="C14" s="1" t="s">
        <v>93</v>
      </c>
      <c r="D14" s="2" t="s">
        <v>146</v>
      </c>
    </row>
    <row r="15" spans="1:4" x14ac:dyDescent="0.25">
      <c r="A15" s="1" t="s">
        <v>17</v>
      </c>
      <c r="B15" s="2" t="s">
        <v>85</v>
      </c>
      <c r="C15" s="1" t="s">
        <v>38</v>
      </c>
      <c r="D15" s="2" t="s">
        <v>95</v>
      </c>
    </row>
    <row r="16" spans="1:4" x14ac:dyDescent="0.25">
      <c r="A16" s="1" t="s">
        <v>18</v>
      </c>
      <c r="B16" s="2" t="s">
        <v>86</v>
      </c>
      <c r="C16" s="1" t="s">
        <v>30</v>
      </c>
      <c r="D16" s="2" t="s">
        <v>119</v>
      </c>
    </row>
    <row r="17" spans="1:4" x14ac:dyDescent="0.25">
      <c r="A17" s="1" t="s">
        <v>19</v>
      </c>
      <c r="B17" s="2" t="s">
        <v>87</v>
      </c>
      <c r="C17" s="1" t="s">
        <v>61</v>
      </c>
      <c r="D17" s="2" t="s">
        <v>147</v>
      </c>
    </row>
    <row r="18" spans="1:4" x14ac:dyDescent="0.25">
      <c r="A18" s="1" t="s">
        <v>20</v>
      </c>
      <c r="B18" s="2" t="s">
        <v>88</v>
      </c>
      <c r="C18" s="1" t="s">
        <v>12</v>
      </c>
      <c r="D18" s="2" t="s">
        <v>86</v>
      </c>
    </row>
    <row r="19" spans="1:4" x14ac:dyDescent="0.25">
      <c r="A19" s="1" t="s">
        <v>21</v>
      </c>
      <c r="B19" s="2" t="s">
        <v>89</v>
      </c>
      <c r="C19" s="1" t="s">
        <v>49</v>
      </c>
      <c r="D19" s="2" t="s">
        <v>148</v>
      </c>
    </row>
    <row r="20" spans="1:4" x14ac:dyDescent="0.25">
      <c r="A20" s="1" t="s">
        <v>22</v>
      </c>
      <c r="B20" s="2" t="s">
        <v>90</v>
      </c>
      <c r="C20" s="1" t="s">
        <v>124</v>
      </c>
      <c r="D20" s="2" t="s">
        <v>112</v>
      </c>
    </row>
    <row r="21" spans="1:4" x14ac:dyDescent="0.25">
      <c r="A21" s="1" t="s">
        <v>23</v>
      </c>
      <c r="B21" s="2" t="s">
        <v>91</v>
      </c>
      <c r="C21" s="1" t="s">
        <v>125</v>
      </c>
      <c r="D21" s="2" t="s">
        <v>118</v>
      </c>
    </row>
    <row r="22" spans="1:4" x14ac:dyDescent="0.25">
      <c r="A22" s="1" t="s">
        <v>24</v>
      </c>
      <c r="B22" s="2" t="s">
        <v>92</v>
      </c>
      <c r="C22" s="1" t="s">
        <v>126</v>
      </c>
      <c r="D22" s="2" t="s">
        <v>117</v>
      </c>
    </row>
    <row r="23" spans="1:4" x14ac:dyDescent="0.25">
      <c r="A23" s="1" t="s">
        <v>25</v>
      </c>
      <c r="B23" s="2" t="s">
        <v>93</v>
      </c>
      <c r="C23" s="1" t="s">
        <v>56</v>
      </c>
      <c r="D23" s="2" t="s">
        <v>120</v>
      </c>
    </row>
    <row r="24" spans="1:4" x14ac:dyDescent="0.25">
      <c r="A24" s="1" t="s">
        <v>26</v>
      </c>
      <c r="B24" s="2" t="s">
        <v>94</v>
      </c>
      <c r="C24" s="1" t="s">
        <v>127</v>
      </c>
    </row>
    <row r="25" spans="1:4" x14ac:dyDescent="0.25">
      <c r="A25" s="1" t="s">
        <v>27</v>
      </c>
      <c r="B25" s="2" t="s">
        <v>95</v>
      </c>
      <c r="C25" s="1" t="s">
        <v>19</v>
      </c>
    </row>
    <row r="26" spans="1:4" x14ac:dyDescent="0.25">
      <c r="A26" s="1" t="s">
        <v>28</v>
      </c>
      <c r="B26" s="2" t="s">
        <v>96</v>
      </c>
      <c r="C26" s="1" t="s">
        <v>128</v>
      </c>
    </row>
    <row r="27" spans="1:4" x14ac:dyDescent="0.25">
      <c r="A27" s="1" t="s">
        <v>29</v>
      </c>
      <c r="B27" s="2" t="s">
        <v>97</v>
      </c>
      <c r="C27" s="1" t="s">
        <v>129</v>
      </c>
    </row>
    <row r="28" spans="1:4" x14ac:dyDescent="0.25">
      <c r="A28" s="1" t="s">
        <v>30</v>
      </c>
      <c r="B28" s="2" t="s">
        <v>98</v>
      </c>
      <c r="C28" s="1" t="s">
        <v>130</v>
      </c>
    </row>
    <row r="29" spans="1:4" x14ac:dyDescent="0.25">
      <c r="A29" s="1" t="s">
        <v>31</v>
      </c>
      <c r="B29" s="2" t="s">
        <v>99</v>
      </c>
      <c r="C29" s="1" t="s">
        <v>131</v>
      </c>
    </row>
    <row r="30" spans="1:4" x14ac:dyDescent="0.25">
      <c r="A30" s="1" t="s">
        <v>32</v>
      </c>
      <c r="B30" s="2" t="s">
        <v>100</v>
      </c>
      <c r="C30" s="1" t="s">
        <v>62</v>
      </c>
    </row>
    <row r="31" spans="1:4" x14ac:dyDescent="0.25">
      <c r="A31" s="1" t="s">
        <v>33</v>
      </c>
      <c r="B31" s="2" t="s">
        <v>101</v>
      </c>
      <c r="C31" s="1" t="s">
        <v>17</v>
      </c>
    </row>
    <row r="32" spans="1:4" x14ac:dyDescent="0.25">
      <c r="A32" s="1" t="s">
        <v>34</v>
      </c>
      <c r="B32" s="2" t="s">
        <v>102</v>
      </c>
      <c r="C32" s="1" t="s">
        <v>132</v>
      </c>
    </row>
    <row r="33" spans="1:3" x14ac:dyDescent="0.25">
      <c r="A33" s="1" t="s">
        <v>35</v>
      </c>
      <c r="B33" s="2" t="s">
        <v>103</v>
      </c>
      <c r="C33" s="1" t="s">
        <v>133</v>
      </c>
    </row>
    <row r="34" spans="1:3" x14ac:dyDescent="0.25">
      <c r="A34" s="1" t="s">
        <v>36</v>
      </c>
      <c r="B34" s="2" t="s">
        <v>104</v>
      </c>
      <c r="C34" s="1" t="s">
        <v>134</v>
      </c>
    </row>
    <row r="35" spans="1:3" x14ac:dyDescent="0.25">
      <c r="A35" s="1" t="s">
        <v>37</v>
      </c>
      <c r="B35" s="2" t="s">
        <v>105</v>
      </c>
      <c r="C35" s="1" t="s">
        <v>135</v>
      </c>
    </row>
    <row r="36" spans="1:3" x14ac:dyDescent="0.25">
      <c r="A36" s="1" t="s">
        <v>38</v>
      </c>
      <c r="B36" s="2" t="s">
        <v>106</v>
      </c>
      <c r="C36" s="1" t="s">
        <v>136</v>
      </c>
    </row>
    <row r="37" spans="1:3" x14ac:dyDescent="0.25">
      <c r="A37" s="1" t="s">
        <v>39</v>
      </c>
      <c r="B37" s="2" t="s">
        <v>107</v>
      </c>
      <c r="C37" s="1" t="s">
        <v>73</v>
      </c>
    </row>
    <row r="38" spans="1:3" x14ac:dyDescent="0.25">
      <c r="A38" s="1" t="s">
        <v>40</v>
      </c>
      <c r="B38" s="2" t="s">
        <v>108</v>
      </c>
      <c r="C38" s="1" t="s">
        <v>137</v>
      </c>
    </row>
    <row r="39" spans="1:3" x14ac:dyDescent="0.25">
      <c r="A39" s="1" t="s">
        <v>41</v>
      </c>
      <c r="B39" s="2" t="s">
        <v>109</v>
      </c>
      <c r="C39" s="1" t="s">
        <v>138</v>
      </c>
    </row>
    <row r="40" spans="1:3" x14ac:dyDescent="0.25">
      <c r="A40" s="1" t="s">
        <v>42</v>
      </c>
      <c r="B40" s="2" t="s">
        <v>110</v>
      </c>
    </row>
    <row r="41" spans="1:3" x14ac:dyDescent="0.25">
      <c r="A41" s="1" t="s">
        <v>43</v>
      </c>
      <c r="B41" s="2" t="s">
        <v>111</v>
      </c>
    </row>
    <row r="42" spans="1:3" x14ac:dyDescent="0.25">
      <c r="A42" s="1" t="s">
        <v>44</v>
      </c>
      <c r="B42" s="2" t="s">
        <v>112</v>
      </c>
    </row>
    <row r="43" spans="1:3" x14ac:dyDescent="0.25">
      <c r="A43" s="1" t="s">
        <v>45</v>
      </c>
      <c r="B43" s="2" t="s">
        <v>113</v>
      </c>
    </row>
    <row r="44" spans="1:3" x14ac:dyDescent="0.25">
      <c r="A44" s="1" t="s">
        <v>46</v>
      </c>
      <c r="B44" s="2" t="s">
        <v>114</v>
      </c>
    </row>
    <row r="45" spans="1:3" x14ac:dyDescent="0.25">
      <c r="A45" s="1" t="s">
        <v>47</v>
      </c>
      <c r="B45" s="2" t="s">
        <v>115</v>
      </c>
    </row>
    <row r="46" spans="1:3" x14ac:dyDescent="0.25">
      <c r="A46" s="1" t="s">
        <v>48</v>
      </c>
      <c r="B46" s="2" t="s">
        <v>116</v>
      </c>
    </row>
    <row r="47" spans="1:3" x14ac:dyDescent="0.25">
      <c r="A47" s="1" t="s">
        <v>49</v>
      </c>
      <c r="B47" s="2" t="s">
        <v>117</v>
      </c>
    </row>
    <row r="48" spans="1:3" x14ac:dyDescent="0.25">
      <c r="A48" s="1" t="s">
        <v>50</v>
      </c>
      <c r="B48" s="2" t="s">
        <v>118</v>
      </c>
    </row>
    <row r="49" spans="1:2" x14ac:dyDescent="0.25">
      <c r="A49" s="1" t="s">
        <v>51</v>
      </c>
      <c r="B49" s="2" t="s">
        <v>119</v>
      </c>
    </row>
    <row r="50" spans="1:2" x14ac:dyDescent="0.25">
      <c r="A50" s="1" t="s">
        <v>52</v>
      </c>
      <c r="B50" s="2" t="s">
        <v>120</v>
      </c>
    </row>
    <row r="51" spans="1:2" x14ac:dyDescent="0.25">
      <c r="A51" s="1" t="s">
        <v>53</v>
      </c>
      <c r="B51" s="2" t="s">
        <v>121</v>
      </c>
    </row>
    <row r="52" spans="1:2" x14ac:dyDescent="0.25">
      <c r="A52" s="1" t="s">
        <v>54</v>
      </c>
    </row>
    <row r="53" spans="1:2" x14ac:dyDescent="0.25">
      <c r="A53" s="1" t="s">
        <v>55</v>
      </c>
    </row>
    <row r="54" spans="1:2" x14ac:dyDescent="0.25">
      <c r="A54" s="1" t="s">
        <v>56</v>
      </c>
    </row>
    <row r="55" spans="1:2" x14ac:dyDescent="0.25">
      <c r="A55" s="1" t="s">
        <v>57</v>
      </c>
    </row>
    <row r="56" spans="1:2" x14ac:dyDescent="0.25">
      <c r="A56" s="1" t="s">
        <v>58</v>
      </c>
    </row>
    <row r="57" spans="1:2" x14ac:dyDescent="0.25">
      <c r="A57" s="1" t="s">
        <v>59</v>
      </c>
    </row>
    <row r="58" spans="1:2" x14ac:dyDescent="0.25">
      <c r="A58" s="1" t="s">
        <v>60</v>
      </c>
    </row>
    <row r="59" spans="1:2" x14ac:dyDescent="0.25">
      <c r="A59" s="1" t="s">
        <v>61</v>
      </c>
    </row>
    <row r="60" spans="1:2" x14ac:dyDescent="0.25">
      <c r="A60" s="1" t="s">
        <v>62</v>
      </c>
    </row>
    <row r="61" spans="1:2" x14ac:dyDescent="0.25">
      <c r="A61" s="1" t="s">
        <v>63</v>
      </c>
    </row>
    <row r="62" spans="1:2" x14ac:dyDescent="0.25">
      <c r="A62" s="1" t="s">
        <v>64</v>
      </c>
    </row>
    <row r="63" spans="1:2" x14ac:dyDescent="0.25">
      <c r="A63" s="1" t="s">
        <v>65</v>
      </c>
    </row>
    <row r="64" spans="1:2" x14ac:dyDescent="0.25">
      <c r="A64" s="1" t="s">
        <v>66</v>
      </c>
    </row>
    <row r="65" spans="1:1" x14ac:dyDescent="0.25">
      <c r="A65" s="1" t="s">
        <v>67</v>
      </c>
    </row>
    <row r="66" spans="1:1" x14ac:dyDescent="0.25">
      <c r="A66" s="1" t="s">
        <v>68</v>
      </c>
    </row>
    <row r="67" spans="1:1" x14ac:dyDescent="0.25">
      <c r="A67" s="1" t="s">
        <v>69</v>
      </c>
    </row>
    <row r="68" spans="1:1" x14ac:dyDescent="0.25">
      <c r="A68" s="1" t="s">
        <v>70</v>
      </c>
    </row>
    <row r="69" spans="1:1" x14ac:dyDescent="0.25">
      <c r="A69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4563-3E0E-4A81-9DD4-8D86C11EFEE3}">
  <dimension ref="A1:K46"/>
  <sheetViews>
    <sheetView tabSelected="1" workbookViewId="0">
      <selection activeCell="D28" sqref="D28"/>
    </sheetView>
  </sheetViews>
  <sheetFormatPr defaultRowHeight="15" x14ac:dyDescent="0.25"/>
  <cols>
    <col min="1" max="1" width="20" bestFit="1" customWidth="1"/>
    <col min="4" max="4" width="35.85546875" customWidth="1"/>
  </cols>
  <sheetData>
    <row r="1" spans="1:11" x14ac:dyDescent="0.25">
      <c r="A1" t="s">
        <v>2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1" t="s">
        <v>122</v>
      </c>
      <c r="B2" s="3">
        <v>2.7514468973800001E-12</v>
      </c>
      <c r="C2" s="3">
        <v>3.3017362768600003E-10</v>
      </c>
      <c r="D2" t="s">
        <v>158</v>
      </c>
      <c r="E2" t="s">
        <v>159</v>
      </c>
      <c r="F2" t="s">
        <v>160</v>
      </c>
      <c r="G2" s="4">
        <f>LEN(H2)-LEN(SUBSTITUTE(H2,";",""))+1</f>
        <v>8</v>
      </c>
      <c r="H2" t="s">
        <v>161</v>
      </c>
      <c r="I2" t="s">
        <v>162</v>
      </c>
      <c r="J2">
        <v>62</v>
      </c>
      <c r="K2">
        <v>62</v>
      </c>
    </row>
    <row r="3" spans="1:11" x14ac:dyDescent="0.25">
      <c r="A3" s="1" t="s">
        <v>4</v>
      </c>
      <c r="B3" s="3">
        <v>6.7039670210100005E-10</v>
      </c>
      <c r="C3" s="3">
        <v>4.0223802126099998E-8</v>
      </c>
      <c r="D3" t="s">
        <v>163</v>
      </c>
      <c r="E3" t="s">
        <v>159</v>
      </c>
      <c r="F3" t="s">
        <v>164</v>
      </c>
      <c r="G3" s="4">
        <f t="shared" ref="G3:G11" si="0">LEN(H3)-LEN(SUBSTITUTE(H3,";",""))+1</f>
        <v>23</v>
      </c>
      <c r="H3" t="s">
        <v>165</v>
      </c>
      <c r="I3" t="s">
        <v>166</v>
      </c>
      <c r="J3">
        <v>2432</v>
      </c>
      <c r="K3">
        <v>2431</v>
      </c>
    </row>
    <row r="4" spans="1:11" x14ac:dyDescent="0.25">
      <c r="A4" s="1" t="s">
        <v>6</v>
      </c>
      <c r="B4" s="3">
        <v>2.0538225271699998E-9</v>
      </c>
      <c r="C4" s="3">
        <v>5.5186262167499997E-8</v>
      </c>
      <c r="D4" t="s">
        <v>167</v>
      </c>
      <c r="E4" t="s">
        <v>159</v>
      </c>
      <c r="F4" t="s">
        <v>168</v>
      </c>
      <c r="G4" s="4">
        <f t="shared" si="0"/>
        <v>9</v>
      </c>
      <c r="H4" t="s">
        <v>169</v>
      </c>
      <c r="I4" t="s">
        <v>170</v>
      </c>
      <c r="J4">
        <v>207</v>
      </c>
      <c r="K4">
        <v>207</v>
      </c>
    </row>
    <row r="5" spans="1:11" x14ac:dyDescent="0.25">
      <c r="A5" s="1" t="s">
        <v>25</v>
      </c>
      <c r="B5" s="3">
        <v>2.1699481957200002E-9</v>
      </c>
      <c r="C5" s="3">
        <v>5.5186262167499997E-8</v>
      </c>
      <c r="D5" t="s">
        <v>171</v>
      </c>
      <c r="E5" t="s">
        <v>159</v>
      </c>
      <c r="F5" t="s">
        <v>172</v>
      </c>
      <c r="G5" s="4">
        <f t="shared" si="0"/>
        <v>7</v>
      </c>
      <c r="H5" t="s">
        <v>173</v>
      </c>
      <c r="I5" t="s">
        <v>174</v>
      </c>
      <c r="J5">
        <v>87</v>
      </c>
      <c r="K5">
        <v>87</v>
      </c>
    </row>
    <row r="6" spans="1:11" x14ac:dyDescent="0.25">
      <c r="A6" s="1" t="s">
        <v>123</v>
      </c>
      <c r="B6" s="3">
        <v>2.5493656584200002E-9</v>
      </c>
      <c r="C6" s="3">
        <v>5.5186262167499997E-8</v>
      </c>
      <c r="D6" t="s">
        <v>175</v>
      </c>
      <c r="E6" t="s">
        <v>159</v>
      </c>
      <c r="F6" t="s">
        <v>176</v>
      </c>
      <c r="G6" s="4">
        <f t="shared" si="0"/>
        <v>7</v>
      </c>
      <c r="H6" t="s">
        <v>173</v>
      </c>
      <c r="I6" t="s">
        <v>174</v>
      </c>
      <c r="J6">
        <v>89</v>
      </c>
      <c r="K6">
        <v>89</v>
      </c>
    </row>
    <row r="7" spans="1:11" x14ac:dyDescent="0.25">
      <c r="A7" s="1" t="s">
        <v>11</v>
      </c>
      <c r="B7" s="3">
        <v>2.7593131083700001E-9</v>
      </c>
      <c r="C7" s="3">
        <v>5.5186262167499997E-8</v>
      </c>
      <c r="D7" t="s">
        <v>177</v>
      </c>
      <c r="E7" t="s">
        <v>159</v>
      </c>
      <c r="F7" t="s">
        <v>178</v>
      </c>
      <c r="G7" s="4">
        <f t="shared" si="0"/>
        <v>7</v>
      </c>
      <c r="H7" t="s">
        <v>173</v>
      </c>
      <c r="I7" t="s">
        <v>174</v>
      </c>
      <c r="J7">
        <v>90</v>
      </c>
      <c r="K7">
        <v>90</v>
      </c>
    </row>
    <row r="8" spans="1:11" x14ac:dyDescent="0.25">
      <c r="A8" s="1" t="s">
        <v>7</v>
      </c>
      <c r="B8" s="3">
        <v>1.28509070273E-8</v>
      </c>
      <c r="C8" s="3">
        <v>2.2030126332499999E-7</v>
      </c>
      <c r="D8" t="s">
        <v>179</v>
      </c>
      <c r="E8" t="s">
        <v>159</v>
      </c>
      <c r="F8" t="s">
        <v>180</v>
      </c>
      <c r="G8" s="4">
        <f t="shared" si="0"/>
        <v>7</v>
      </c>
      <c r="H8" t="s">
        <v>173</v>
      </c>
      <c r="I8" t="s">
        <v>174</v>
      </c>
      <c r="J8">
        <v>112</v>
      </c>
      <c r="K8">
        <v>112</v>
      </c>
    </row>
    <row r="9" spans="1:11" x14ac:dyDescent="0.25">
      <c r="A9" s="1" t="s">
        <v>5</v>
      </c>
      <c r="B9" s="3">
        <v>1.7060458188600001E-8</v>
      </c>
      <c r="C9" s="3">
        <v>2.5590687282899999E-7</v>
      </c>
      <c r="D9" t="s">
        <v>181</v>
      </c>
      <c r="E9" t="s">
        <v>159</v>
      </c>
      <c r="F9" t="s">
        <v>182</v>
      </c>
      <c r="G9" s="4">
        <f t="shared" si="0"/>
        <v>11</v>
      </c>
      <c r="H9" t="s">
        <v>183</v>
      </c>
      <c r="I9" t="s">
        <v>184</v>
      </c>
      <c r="J9">
        <v>471</v>
      </c>
      <c r="K9">
        <v>471</v>
      </c>
    </row>
    <row r="10" spans="1:11" x14ac:dyDescent="0.25">
      <c r="A10" s="1" t="s">
        <v>35</v>
      </c>
      <c r="B10" s="3">
        <v>3.6255407892299999E-8</v>
      </c>
      <c r="C10" s="3">
        <v>3.8187381613799997E-7</v>
      </c>
      <c r="D10" t="s">
        <v>185</v>
      </c>
      <c r="E10" t="s">
        <v>159</v>
      </c>
      <c r="F10" t="s">
        <v>186</v>
      </c>
      <c r="G10" s="4">
        <f t="shared" si="0"/>
        <v>7</v>
      </c>
      <c r="H10" t="s">
        <v>173</v>
      </c>
      <c r="I10" t="s">
        <v>174</v>
      </c>
      <c r="J10">
        <v>130</v>
      </c>
      <c r="K10">
        <v>130</v>
      </c>
    </row>
    <row r="11" spans="1:11" x14ac:dyDescent="0.25">
      <c r="A11" s="1" t="s">
        <v>104</v>
      </c>
      <c r="B11" s="3">
        <v>4.1369663415000002E-8</v>
      </c>
      <c r="C11" s="3">
        <v>3.8187381613799997E-7</v>
      </c>
      <c r="D11" t="s">
        <v>187</v>
      </c>
      <c r="E11" t="s">
        <v>159</v>
      </c>
      <c r="F11" t="s">
        <v>188</v>
      </c>
      <c r="G11" s="4">
        <f t="shared" si="0"/>
        <v>6</v>
      </c>
      <c r="H11" t="s">
        <v>189</v>
      </c>
      <c r="I11" t="s">
        <v>190</v>
      </c>
      <c r="J11">
        <v>77</v>
      </c>
      <c r="K11">
        <v>77</v>
      </c>
    </row>
    <row r="12" spans="1:11" x14ac:dyDescent="0.25">
      <c r="A12" s="1" t="s">
        <v>18</v>
      </c>
      <c r="B12" s="3"/>
      <c r="C12" s="3"/>
    </row>
    <row r="13" spans="1:11" x14ac:dyDescent="0.25">
      <c r="A13" s="1" t="s">
        <v>54</v>
      </c>
      <c r="B13" s="3"/>
      <c r="C13" s="3"/>
    </row>
    <row r="14" spans="1:11" x14ac:dyDescent="0.25">
      <c r="A14" s="1" t="s">
        <v>93</v>
      </c>
      <c r="B14" s="3"/>
      <c r="C14" s="3"/>
    </row>
    <row r="15" spans="1:11" x14ac:dyDescent="0.25">
      <c r="A15" s="1" t="s">
        <v>38</v>
      </c>
      <c r="B15" s="3"/>
      <c r="C15" s="3"/>
    </row>
    <row r="16" spans="1:11" x14ac:dyDescent="0.25">
      <c r="A16" s="1" t="s">
        <v>30</v>
      </c>
      <c r="B16" s="3"/>
      <c r="C16" s="3"/>
    </row>
    <row r="17" spans="1:3" x14ac:dyDescent="0.25">
      <c r="A17" s="1" t="s">
        <v>61</v>
      </c>
      <c r="B17" s="3"/>
      <c r="C17" s="3"/>
    </row>
    <row r="18" spans="1:3" x14ac:dyDescent="0.25">
      <c r="A18" s="1" t="s">
        <v>12</v>
      </c>
      <c r="B18" s="3"/>
      <c r="C18" s="3"/>
    </row>
    <row r="19" spans="1:3" x14ac:dyDescent="0.25">
      <c r="A19" s="1" t="s">
        <v>49</v>
      </c>
      <c r="B19" s="3"/>
      <c r="C19" s="3"/>
    </row>
    <row r="20" spans="1:3" x14ac:dyDescent="0.25">
      <c r="A20" s="1" t="s">
        <v>124</v>
      </c>
      <c r="B20" s="3"/>
      <c r="C20" s="3"/>
    </row>
    <row r="21" spans="1:3" x14ac:dyDescent="0.25">
      <c r="A21" s="1" t="s">
        <v>125</v>
      </c>
      <c r="B21" s="3"/>
      <c r="C21" s="3"/>
    </row>
    <row r="22" spans="1:3" x14ac:dyDescent="0.25">
      <c r="A22" s="1" t="s">
        <v>126</v>
      </c>
      <c r="B22" s="3"/>
      <c r="C22" s="3"/>
    </row>
    <row r="23" spans="1:3" x14ac:dyDescent="0.25">
      <c r="A23" s="1" t="s">
        <v>56</v>
      </c>
      <c r="B23" s="3"/>
      <c r="C23" s="3"/>
    </row>
    <row r="24" spans="1:3" x14ac:dyDescent="0.25">
      <c r="A24" s="1" t="s">
        <v>127</v>
      </c>
      <c r="B24" s="3"/>
      <c r="C24" s="3"/>
    </row>
    <row r="25" spans="1:3" x14ac:dyDescent="0.25">
      <c r="A25" s="1" t="s">
        <v>19</v>
      </c>
      <c r="B25" s="3"/>
      <c r="C25" s="3"/>
    </row>
    <row r="26" spans="1:3" x14ac:dyDescent="0.25">
      <c r="A26" s="1" t="s">
        <v>128</v>
      </c>
      <c r="B26" s="3"/>
      <c r="C26" s="3"/>
    </row>
    <row r="27" spans="1:3" x14ac:dyDescent="0.25">
      <c r="A27" s="1" t="s">
        <v>129</v>
      </c>
      <c r="B27" s="3"/>
      <c r="C27" s="3"/>
    </row>
    <row r="28" spans="1:3" x14ac:dyDescent="0.25">
      <c r="A28" s="1" t="s">
        <v>130</v>
      </c>
      <c r="B28" s="3"/>
      <c r="C28" s="3"/>
    </row>
    <row r="29" spans="1:3" x14ac:dyDescent="0.25">
      <c r="A29" s="1" t="s">
        <v>131</v>
      </c>
      <c r="B29" s="3"/>
      <c r="C29" s="3"/>
    </row>
    <row r="30" spans="1:3" x14ac:dyDescent="0.25">
      <c r="A30" s="1" t="s">
        <v>62</v>
      </c>
      <c r="B30" s="3"/>
      <c r="C30" s="3"/>
    </row>
    <row r="31" spans="1:3" x14ac:dyDescent="0.25">
      <c r="A31" s="1" t="s">
        <v>17</v>
      </c>
      <c r="B31" s="3"/>
      <c r="C31" s="3"/>
    </row>
    <row r="32" spans="1:3" x14ac:dyDescent="0.25">
      <c r="A32" s="1" t="s">
        <v>132</v>
      </c>
      <c r="B32" s="3"/>
      <c r="C32" s="3"/>
    </row>
    <row r="33" spans="1:3" x14ac:dyDescent="0.25">
      <c r="A33" s="1" t="s">
        <v>133</v>
      </c>
      <c r="B33" s="3"/>
      <c r="C33" s="3"/>
    </row>
    <row r="34" spans="1:3" x14ac:dyDescent="0.25">
      <c r="A34" s="1" t="s">
        <v>134</v>
      </c>
      <c r="B34" s="3"/>
      <c r="C34" s="3"/>
    </row>
    <row r="35" spans="1:3" x14ac:dyDescent="0.25">
      <c r="A35" s="1" t="s">
        <v>135</v>
      </c>
      <c r="B35" s="3"/>
      <c r="C35" s="3"/>
    </row>
    <row r="36" spans="1:3" x14ac:dyDescent="0.25">
      <c r="A36" s="1" t="s">
        <v>136</v>
      </c>
      <c r="B36" s="3"/>
      <c r="C36" s="3"/>
    </row>
    <row r="37" spans="1:3" x14ac:dyDescent="0.25">
      <c r="A37" s="1" t="s">
        <v>73</v>
      </c>
      <c r="B37" s="3"/>
      <c r="C37" s="3"/>
    </row>
    <row r="38" spans="1:3" x14ac:dyDescent="0.25">
      <c r="A38" s="1" t="s">
        <v>137</v>
      </c>
      <c r="B38" s="3"/>
      <c r="C38" s="3"/>
    </row>
    <row r="39" spans="1:3" x14ac:dyDescent="0.25">
      <c r="A39" s="1" t="s">
        <v>138</v>
      </c>
      <c r="B39" s="3"/>
      <c r="C39" s="3"/>
    </row>
    <row r="40" spans="1:3" x14ac:dyDescent="0.25">
      <c r="B40" s="3"/>
      <c r="C40" s="3"/>
    </row>
    <row r="41" spans="1:3" x14ac:dyDescent="0.25">
      <c r="B41" s="3"/>
      <c r="C41" s="3"/>
    </row>
    <row r="42" spans="1:3" x14ac:dyDescent="0.25">
      <c r="B42" s="3"/>
      <c r="C42" s="3"/>
    </row>
    <row r="43" spans="1:3" x14ac:dyDescent="0.25">
      <c r="B43" s="3"/>
      <c r="C43" s="3"/>
    </row>
    <row r="44" spans="1:3" x14ac:dyDescent="0.25">
      <c r="B44" s="3"/>
    </row>
    <row r="45" spans="1:3" x14ac:dyDescent="0.25">
      <c r="B45" s="3"/>
    </row>
    <row r="46" spans="1:3" x14ac:dyDescent="0.25">
      <c r="B4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E983-57D0-4D27-B3BC-20288A7E9FEE}">
  <dimension ref="A1:K47"/>
  <sheetViews>
    <sheetView workbookViewId="0">
      <selection activeCell="I15" sqref="I15"/>
    </sheetView>
  </sheetViews>
  <sheetFormatPr defaultRowHeight="15" x14ac:dyDescent="0.25"/>
  <cols>
    <col min="1" max="1" width="20" bestFit="1" customWidth="1"/>
  </cols>
  <sheetData>
    <row r="1" spans="1:11" x14ac:dyDescent="0.25">
      <c r="A1" t="s">
        <v>2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1" t="s">
        <v>122</v>
      </c>
      <c r="B2" s="3">
        <v>6.37421150147E-25</v>
      </c>
      <c r="C2" s="3">
        <v>6.2467272714399999E-23</v>
      </c>
      <c r="D2" t="s">
        <v>217</v>
      </c>
      <c r="E2" t="s">
        <v>218</v>
      </c>
      <c r="F2" t="s">
        <v>219</v>
      </c>
      <c r="G2" s="4">
        <f>LEN(H2)-LEN(SUBSTITUTE(H2,";",""))+1</f>
        <v>16</v>
      </c>
      <c r="H2" t="s">
        <v>220</v>
      </c>
      <c r="I2" t="s">
        <v>221</v>
      </c>
      <c r="J2">
        <v>112</v>
      </c>
      <c r="K2">
        <v>112</v>
      </c>
    </row>
    <row r="3" spans="1:11" x14ac:dyDescent="0.25">
      <c r="A3" s="1" t="s">
        <v>4</v>
      </c>
      <c r="B3" s="3">
        <v>5.0616109851900002E-22</v>
      </c>
      <c r="C3" s="3">
        <v>2.4801893827400001E-20</v>
      </c>
      <c r="D3" t="s">
        <v>222</v>
      </c>
      <c r="E3" t="s">
        <v>218</v>
      </c>
      <c r="F3" t="s">
        <v>223</v>
      </c>
      <c r="G3" s="4">
        <f t="shared" ref="G3:G10" si="0">LEN(H3)-LEN(SUBSTITUTE(H3,";",""))+1</f>
        <v>14</v>
      </c>
      <c r="H3" t="s">
        <v>224</v>
      </c>
      <c r="I3" t="s">
        <v>225</v>
      </c>
      <c r="J3">
        <v>94</v>
      </c>
      <c r="K3">
        <v>94</v>
      </c>
    </row>
    <row r="4" spans="1:11" x14ac:dyDescent="0.25">
      <c r="A4" s="1" t="s">
        <v>6</v>
      </c>
      <c r="B4" s="3">
        <v>8.1563754212300005E-17</v>
      </c>
      <c r="C4" s="3">
        <v>2.6644159709399999E-15</v>
      </c>
      <c r="D4" t="s">
        <v>226</v>
      </c>
      <c r="E4" t="s">
        <v>218</v>
      </c>
      <c r="F4" t="s">
        <v>227</v>
      </c>
      <c r="G4" s="4">
        <f t="shared" si="0"/>
        <v>14</v>
      </c>
      <c r="H4" t="s">
        <v>228</v>
      </c>
      <c r="I4" t="s">
        <v>229</v>
      </c>
      <c r="J4">
        <v>215</v>
      </c>
      <c r="K4">
        <v>215</v>
      </c>
    </row>
    <row r="5" spans="1:11" x14ac:dyDescent="0.25">
      <c r="A5" s="1" t="s">
        <v>25</v>
      </c>
      <c r="B5" s="3">
        <v>1.39210284686E-16</v>
      </c>
      <c r="C5" s="3">
        <v>3.41065197482E-15</v>
      </c>
      <c r="D5" t="s">
        <v>230</v>
      </c>
      <c r="E5" t="s">
        <v>218</v>
      </c>
      <c r="F5" t="s">
        <v>231</v>
      </c>
      <c r="G5" s="4">
        <f t="shared" si="0"/>
        <v>10</v>
      </c>
      <c r="H5" t="s">
        <v>232</v>
      </c>
      <c r="I5" t="s">
        <v>233</v>
      </c>
      <c r="J5">
        <v>57</v>
      </c>
      <c r="K5">
        <v>57</v>
      </c>
    </row>
    <row r="6" spans="1:11" x14ac:dyDescent="0.25">
      <c r="A6" s="1" t="s">
        <v>123</v>
      </c>
      <c r="B6" s="3">
        <v>3.05919909354E-16</v>
      </c>
      <c r="C6" s="3">
        <v>5.9960302233300001E-15</v>
      </c>
      <c r="D6" t="s">
        <v>234</v>
      </c>
      <c r="E6" t="s">
        <v>218</v>
      </c>
      <c r="F6" t="s">
        <v>235</v>
      </c>
      <c r="G6" s="4">
        <f t="shared" si="0"/>
        <v>11</v>
      </c>
      <c r="H6" t="s">
        <v>236</v>
      </c>
      <c r="I6" t="s">
        <v>237</v>
      </c>
      <c r="J6">
        <v>93</v>
      </c>
      <c r="K6">
        <v>92</v>
      </c>
    </row>
    <row r="7" spans="1:11" x14ac:dyDescent="0.25">
      <c r="A7" s="1" t="s">
        <v>11</v>
      </c>
      <c r="B7" s="3">
        <v>5.1868402705300001E-14</v>
      </c>
      <c r="C7" s="3">
        <v>8.4718391085299996E-13</v>
      </c>
      <c r="D7" t="s">
        <v>238</v>
      </c>
      <c r="E7" t="s">
        <v>218</v>
      </c>
      <c r="F7" t="s">
        <v>239</v>
      </c>
      <c r="G7" s="4">
        <f t="shared" si="0"/>
        <v>10</v>
      </c>
      <c r="H7" t="s">
        <v>240</v>
      </c>
      <c r="I7" t="s">
        <v>241</v>
      </c>
      <c r="J7">
        <v>100</v>
      </c>
      <c r="K7">
        <v>100</v>
      </c>
    </row>
    <row r="8" spans="1:11" x14ac:dyDescent="0.25">
      <c r="A8" s="1" t="s">
        <v>7</v>
      </c>
      <c r="B8" s="3">
        <v>7.0328424642000004E-14</v>
      </c>
      <c r="C8" s="3">
        <v>9.8459794498800008E-13</v>
      </c>
      <c r="D8" t="s">
        <v>242</v>
      </c>
      <c r="E8" t="s">
        <v>218</v>
      </c>
      <c r="F8" t="s">
        <v>243</v>
      </c>
      <c r="G8" s="4">
        <f t="shared" si="0"/>
        <v>10</v>
      </c>
      <c r="H8" t="s">
        <v>244</v>
      </c>
      <c r="I8" t="s">
        <v>245</v>
      </c>
      <c r="J8">
        <v>104</v>
      </c>
      <c r="K8">
        <v>103</v>
      </c>
    </row>
    <row r="9" spans="1:11" x14ac:dyDescent="0.25">
      <c r="A9" s="1" t="s">
        <v>5</v>
      </c>
      <c r="B9" s="3">
        <v>6.1668831411899997E-13</v>
      </c>
      <c r="C9" s="3">
        <v>7.5544318479499993E-12</v>
      </c>
      <c r="D9" t="s">
        <v>246</v>
      </c>
      <c r="E9" t="s">
        <v>218</v>
      </c>
      <c r="F9" t="s">
        <v>247</v>
      </c>
      <c r="G9" s="4">
        <f t="shared" si="0"/>
        <v>11</v>
      </c>
      <c r="H9" t="s">
        <v>248</v>
      </c>
      <c r="I9" t="s">
        <v>249</v>
      </c>
      <c r="J9">
        <v>181</v>
      </c>
      <c r="K9">
        <v>181</v>
      </c>
    </row>
    <row r="10" spans="1:11" x14ac:dyDescent="0.25">
      <c r="A10" s="1" t="s">
        <v>35</v>
      </c>
      <c r="B10" s="3">
        <v>1.1799320806899999E-12</v>
      </c>
      <c r="C10" s="3">
        <v>1.28481493231E-11</v>
      </c>
      <c r="D10" t="s">
        <v>250</v>
      </c>
      <c r="E10" t="s">
        <v>218</v>
      </c>
      <c r="F10" t="s">
        <v>251</v>
      </c>
      <c r="G10" s="4">
        <f t="shared" si="0"/>
        <v>11</v>
      </c>
      <c r="H10" t="s">
        <v>252</v>
      </c>
      <c r="I10" t="s">
        <v>253</v>
      </c>
      <c r="J10">
        <v>192</v>
      </c>
      <c r="K10">
        <v>192</v>
      </c>
    </row>
    <row r="11" spans="1:11" x14ac:dyDescent="0.25">
      <c r="A11" s="1" t="s">
        <v>104</v>
      </c>
      <c r="B11" s="3"/>
      <c r="C11" s="3"/>
    </row>
    <row r="12" spans="1:11" x14ac:dyDescent="0.25">
      <c r="A12" s="1" t="s">
        <v>18</v>
      </c>
      <c r="B12" s="3"/>
      <c r="C12" s="3"/>
    </row>
    <row r="13" spans="1:11" x14ac:dyDescent="0.25">
      <c r="A13" s="1" t="s">
        <v>54</v>
      </c>
      <c r="B13" s="3"/>
      <c r="C13" s="3"/>
    </row>
    <row r="14" spans="1:11" x14ac:dyDescent="0.25">
      <c r="A14" s="1" t="s">
        <v>93</v>
      </c>
      <c r="B14" s="3"/>
      <c r="C14" s="3"/>
    </row>
    <row r="15" spans="1:11" x14ac:dyDescent="0.25">
      <c r="A15" s="1" t="s">
        <v>38</v>
      </c>
      <c r="B15" s="3"/>
      <c r="C15" s="3"/>
    </row>
    <row r="16" spans="1:11" x14ac:dyDescent="0.25">
      <c r="A16" s="1" t="s">
        <v>30</v>
      </c>
      <c r="B16" s="3"/>
      <c r="C16" s="3"/>
    </row>
    <row r="17" spans="1:3" x14ac:dyDescent="0.25">
      <c r="A17" s="1" t="s">
        <v>61</v>
      </c>
      <c r="B17" s="3"/>
      <c r="C17" s="3"/>
    </row>
    <row r="18" spans="1:3" x14ac:dyDescent="0.25">
      <c r="A18" s="1" t="s">
        <v>12</v>
      </c>
      <c r="B18" s="3"/>
      <c r="C18" s="3"/>
    </row>
    <row r="19" spans="1:3" x14ac:dyDescent="0.25">
      <c r="A19" s="1" t="s">
        <v>49</v>
      </c>
      <c r="B19" s="3"/>
      <c r="C19" s="3"/>
    </row>
    <row r="20" spans="1:3" x14ac:dyDescent="0.25">
      <c r="A20" s="1" t="s">
        <v>124</v>
      </c>
      <c r="B20" s="3"/>
      <c r="C20" s="3"/>
    </row>
    <row r="21" spans="1:3" x14ac:dyDescent="0.25">
      <c r="A21" s="1" t="s">
        <v>125</v>
      </c>
      <c r="B21" s="3"/>
      <c r="C21" s="3"/>
    </row>
    <row r="22" spans="1:3" x14ac:dyDescent="0.25">
      <c r="A22" s="1" t="s">
        <v>126</v>
      </c>
      <c r="B22" s="3"/>
      <c r="C22" s="3"/>
    </row>
    <row r="23" spans="1:3" x14ac:dyDescent="0.25">
      <c r="A23" s="1" t="s">
        <v>56</v>
      </c>
      <c r="B23" s="3"/>
      <c r="C23" s="3"/>
    </row>
    <row r="24" spans="1:3" x14ac:dyDescent="0.25">
      <c r="A24" s="1" t="s">
        <v>127</v>
      </c>
      <c r="B24" s="3"/>
      <c r="C24" s="3"/>
    </row>
    <row r="25" spans="1:3" x14ac:dyDescent="0.25">
      <c r="A25" s="1" t="s">
        <v>19</v>
      </c>
      <c r="B25" s="3"/>
      <c r="C25" s="3"/>
    </row>
    <row r="26" spans="1:3" x14ac:dyDescent="0.25">
      <c r="A26" s="1" t="s">
        <v>128</v>
      </c>
      <c r="B26" s="3"/>
      <c r="C26" s="3"/>
    </row>
    <row r="27" spans="1:3" x14ac:dyDescent="0.25">
      <c r="A27" s="1" t="s">
        <v>129</v>
      </c>
      <c r="B27" s="3"/>
      <c r="C27" s="3"/>
    </row>
    <row r="28" spans="1:3" x14ac:dyDescent="0.25">
      <c r="A28" s="1" t="s">
        <v>130</v>
      </c>
      <c r="B28" s="3"/>
      <c r="C28" s="3"/>
    </row>
    <row r="29" spans="1:3" x14ac:dyDescent="0.25">
      <c r="A29" s="1" t="s">
        <v>131</v>
      </c>
      <c r="B29" s="3"/>
      <c r="C29" s="3"/>
    </row>
    <row r="30" spans="1:3" x14ac:dyDescent="0.25">
      <c r="A30" s="1" t="s">
        <v>62</v>
      </c>
      <c r="B30" s="3"/>
      <c r="C30" s="3"/>
    </row>
    <row r="31" spans="1:3" x14ac:dyDescent="0.25">
      <c r="A31" s="1" t="s">
        <v>17</v>
      </c>
      <c r="B31" s="3"/>
      <c r="C31" s="3"/>
    </row>
    <row r="32" spans="1:3" x14ac:dyDescent="0.25">
      <c r="A32" s="1" t="s">
        <v>132</v>
      </c>
      <c r="B32" s="3"/>
      <c r="C32" s="3"/>
    </row>
    <row r="33" spans="1:3" x14ac:dyDescent="0.25">
      <c r="A33" s="1" t="s">
        <v>133</v>
      </c>
      <c r="B33" s="3"/>
      <c r="C33" s="3"/>
    </row>
    <row r="34" spans="1:3" x14ac:dyDescent="0.25">
      <c r="A34" s="1" t="s">
        <v>134</v>
      </c>
      <c r="B34" s="3"/>
      <c r="C34" s="3"/>
    </row>
    <row r="35" spans="1:3" x14ac:dyDescent="0.25">
      <c r="A35" s="1" t="s">
        <v>135</v>
      </c>
      <c r="B35" s="3"/>
      <c r="C35" s="3"/>
    </row>
    <row r="36" spans="1:3" x14ac:dyDescent="0.25">
      <c r="A36" s="1" t="s">
        <v>136</v>
      </c>
      <c r="B36" s="3"/>
      <c r="C36" s="3"/>
    </row>
    <row r="37" spans="1:3" x14ac:dyDescent="0.25">
      <c r="A37" s="1" t="s">
        <v>73</v>
      </c>
      <c r="B37" s="3"/>
      <c r="C37" s="3"/>
    </row>
    <row r="38" spans="1:3" x14ac:dyDescent="0.25">
      <c r="A38" s="1" t="s">
        <v>137</v>
      </c>
      <c r="B38" s="3"/>
      <c r="C38" s="3"/>
    </row>
    <row r="39" spans="1:3" x14ac:dyDescent="0.25">
      <c r="A39" s="1" t="s">
        <v>138</v>
      </c>
      <c r="B39" s="3"/>
      <c r="C39" s="3"/>
    </row>
    <row r="40" spans="1:3" x14ac:dyDescent="0.25">
      <c r="B40" s="3"/>
      <c r="C40" s="3"/>
    </row>
    <row r="41" spans="1:3" x14ac:dyDescent="0.25">
      <c r="B41" s="3"/>
      <c r="C41" s="3"/>
    </row>
    <row r="42" spans="1:3" x14ac:dyDescent="0.25">
      <c r="B42" s="3"/>
      <c r="C42" s="3"/>
    </row>
    <row r="43" spans="1:3" x14ac:dyDescent="0.25">
      <c r="B43" s="3"/>
      <c r="C43" s="3"/>
    </row>
    <row r="44" spans="1:3" x14ac:dyDescent="0.25">
      <c r="B44" s="3"/>
      <c r="C44" s="3"/>
    </row>
    <row r="45" spans="1:3" x14ac:dyDescent="0.25">
      <c r="B45" s="3"/>
    </row>
    <row r="46" spans="1:3" x14ac:dyDescent="0.25">
      <c r="B46" s="3"/>
    </row>
    <row r="47" spans="1:3" x14ac:dyDescent="0.25">
      <c r="B4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FF13-676A-48FB-A16C-DD76C9E0EB19}">
  <dimension ref="A1:K23"/>
  <sheetViews>
    <sheetView workbookViewId="0">
      <selection activeCell="G1" sqref="G1:G2"/>
    </sheetView>
  </sheetViews>
  <sheetFormatPr defaultRowHeight="15" x14ac:dyDescent="0.25"/>
  <cols>
    <col min="1" max="1" width="22.5703125" bestFit="1" customWidth="1"/>
    <col min="3" max="3" width="12" bestFit="1" customWidth="1"/>
    <col min="4" max="4" width="29.85546875" bestFit="1" customWidth="1"/>
    <col min="8" max="8" width="43.140625" bestFit="1" customWidth="1"/>
  </cols>
  <sheetData>
    <row r="1" spans="1:11" x14ac:dyDescent="0.25">
      <c r="A1" t="s">
        <v>3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2" t="s">
        <v>139</v>
      </c>
      <c r="B2">
        <v>1.8318690415199999E-4</v>
      </c>
      <c r="C2">
        <v>1.50544266464E-3</v>
      </c>
      <c r="D2" t="s">
        <v>266</v>
      </c>
      <c r="E2" t="s">
        <v>159</v>
      </c>
      <c r="F2" t="s">
        <v>267</v>
      </c>
      <c r="G2" s="4">
        <f>LEN(H2)-LEN(SUBSTITUTE(H2,";",""))+1</f>
        <v>3</v>
      </c>
      <c r="H2" t="s">
        <v>268</v>
      </c>
      <c r="I2" t="s">
        <v>269</v>
      </c>
      <c r="J2">
        <v>73</v>
      </c>
      <c r="K2">
        <v>72</v>
      </c>
    </row>
    <row r="3" spans="1:11" x14ac:dyDescent="0.25">
      <c r="A3" s="2" t="s">
        <v>140</v>
      </c>
      <c r="B3">
        <v>1.8318690415199999E-4</v>
      </c>
      <c r="C3">
        <v>1.50544266464E-3</v>
      </c>
      <c r="D3" t="s">
        <v>270</v>
      </c>
      <c r="E3" t="s">
        <v>159</v>
      </c>
      <c r="F3" t="s">
        <v>271</v>
      </c>
      <c r="G3" s="4">
        <f t="shared" ref="G3:G11" si="0">LEN(H3)-LEN(SUBSTITUTE(H3,";",""))+1</f>
        <v>3</v>
      </c>
      <c r="H3" t="s">
        <v>272</v>
      </c>
      <c r="I3" t="s">
        <v>273</v>
      </c>
      <c r="J3">
        <v>72</v>
      </c>
      <c r="K3">
        <v>72</v>
      </c>
    </row>
    <row r="4" spans="1:11" x14ac:dyDescent="0.25">
      <c r="A4" s="2" t="s">
        <v>79</v>
      </c>
      <c r="B4">
        <v>2.15063237806E-4</v>
      </c>
      <c r="C4">
        <v>1.50544266464E-3</v>
      </c>
      <c r="D4" t="s">
        <v>274</v>
      </c>
      <c r="E4" t="s">
        <v>159</v>
      </c>
      <c r="F4" t="s">
        <v>275</v>
      </c>
      <c r="G4" s="4">
        <f t="shared" si="0"/>
        <v>3</v>
      </c>
      <c r="H4" t="s">
        <v>276</v>
      </c>
      <c r="I4" t="s">
        <v>277</v>
      </c>
      <c r="J4">
        <v>76</v>
      </c>
      <c r="K4">
        <v>76</v>
      </c>
    </row>
    <row r="5" spans="1:11" x14ac:dyDescent="0.25">
      <c r="A5" s="2" t="s">
        <v>141</v>
      </c>
      <c r="B5">
        <v>3.7804915777400001E-4</v>
      </c>
      <c r="C5">
        <v>1.9847580783199999E-3</v>
      </c>
      <c r="D5" t="s">
        <v>278</v>
      </c>
      <c r="E5" t="s">
        <v>159</v>
      </c>
      <c r="F5" t="s">
        <v>279</v>
      </c>
      <c r="G5" s="4">
        <f t="shared" si="0"/>
        <v>3</v>
      </c>
      <c r="H5" t="s">
        <v>280</v>
      </c>
      <c r="I5" t="s">
        <v>281</v>
      </c>
      <c r="J5">
        <v>93</v>
      </c>
      <c r="K5">
        <v>92</v>
      </c>
    </row>
    <row r="6" spans="1:11" x14ac:dyDescent="0.25">
      <c r="A6" s="2" t="s">
        <v>142</v>
      </c>
      <c r="B6">
        <v>7.6355781580199995E-4</v>
      </c>
      <c r="C6">
        <v>3.2069428263700002E-3</v>
      </c>
      <c r="D6" t="s">
        <v>282</v>
      </c>
      <c r="E6" t="s">
        <v>159</v>
      </c>
      <c r="F6" t="s">
        <v>283</v>
      </c>
      <c r="G6" s="4">
        <f t="shared" si="0"/>
        <v>5</v>
      </c>
      <c r="H6" t="s">
        <v>284</v>
      </c>
      <c r="I6" t="s">
        <v>285</v>
      </c>
      <c r="J6">
        <v>487</v>
      </c>
      <c r="K6">
        <v>486</v>
      </c>
    </row>
    <row r="7" spans="1:11" x14ac:dyDescent="0.25">
      <c r="A7" s="2" t="s">
        <v>143</v>
      </c>
      <c r="B7">
        <v>1.2668779477899999E-3</v>
      </c>
      <c r="C7">
        <v>4.43407281726E-3</v>
      </c>
      <c r="D7" t="s">
        <v>286</v>
      </c>
      <c r="E7" t="s">
        <v>159</v>
      </c>
      <c r="F7" t="s">
        <v>287</v>
      </c>
      <c r="G7" s="4">
        <f t="shared" si="0"/>
        <v>2</v>
      </c>
      <c r="H7" t="s">
        <v>288</v>
      </c>
      <c r="I7" t="s">
        <v>289</v>
      </c>
      <c r="J7">
        <v>35</v>
      </c>
      <c r="K7">
        <v>34</v>
      </c>
    </row>
    <row r="8" spans="1:11" x14ac:dyDescent="0.25">
      <c r="A8" s="2" t="s">
        <v>81</v>
      </c>
      <c r="B8">
        <v>1.9516429977199999E-3</v>
      </c>
      <c r="C8">
        <v>5.8549289931600001E-3</v>
      </c>
      <c r="D8" t="s">
        <v>215</v>
      </c>
      <c r="E8" t="s">
        <v>159</v>
      </c>
      <c r="F8" t="s">
        <v>216</v>
      </c>
      <c r="G8" s="4">
        <f t="shared" si="0"/>
        <v>3</v>
      </c>
      <c r="H8" t="s">
        <v>272</v>
      </c>
      <c r="I8" t="s">
        <v>290</v>
      </c>
      <c r="J8">
        <v>162</v>
      </c>
      <c r="K8">
        <v>162</v>
      </c>
    </row>
    <row r="9" spans="1:11" x14ac:dyDescent="0.25">
      <c r="A9" s="2" t="s">
        <v>77</v>
      </c>
      <c r="B9">
        <v>4.5170972222800003E-3</v>
      </c>
      <c r="C9">
        <v>1.09350160852E-2</v>
      </c>
      <c r="D9" t="s">
        <v>193</v>
      </c>
      <c r="E9" t="s">
        <v>159</v>
      </c>
      <c r="F9" t="s">
        <v>194</v>
      </c>
      <c r="G9" s="4">
        <f t="shared" si="0"/>
        <v>8</v>
      </c>
      <c r="H9" t="s">
        <v>291</v>
      </c>
      <c r="I9" t="s">
        <v>292</v>
      </c>
      <c r="J9">
        <v>1828</v>
      </c>
      <c r="K9">
        <v>1827</v>
      </c>
    </row>
    <row r="10" spans="1:11" x14ac:dyDescent="0.25">
      <c r="A10" s="2" t="s">
        <v>110</v>
      </c>
      <c r="B10">
        <v>4.68643546507E-3</v>
      </c>
      <c r="C10">
        <v>1.09350160852E-2</v>
      </c>
      <c r="D10" t="s">
        <v>207</v>
      </c>
      <c r="E10" t="s">
        <v>159</v>
      </c>
      <c r="F10" t="s">
        <v>208</v>
      </c>
      <c r="G10" s="4">
        <f t="shared" si="0"/>
        <v>6</v>
      </c>
      <c r="H10" t="s">
        <v>293</v>
      </c>
      <c r="I10" t="s">
        <v>294</v>
      </c>
      <c r="J10">
        <v>1065</v>
      </c>
      <c r="K10">
        <v>1064</v>
      </c>
    </row>
    <row r="11" spans="1:11" x14ac:dyDescent="0.25">
      <c r="A11" s="2" t="s">
        <v>144</v>
      </c>
      <c r="B11">
        <v>9.3785560182699998E-3</v>
      </c>
      <c r="C11">
        <v>1.96949676384E-2</v>
      </c>
      <c r="D11" t="s">
        <v>295</v>
      </c>
      <c r="E11" t="s">
        <v>159</v>
      </c>
      <c r="F11" t="s">
        <v>296</v>
      </c>
      <c r="G11" s="4">
        <f t="shared" si="0"/>
        <v>3</v>
      </c>
      <c r="H11" t="s">
        <v>280</v>
      </c>
      <c r="I11" t="s">
        <v>297</v>
      </c>
      <c r="J11">
        <v>285</v>
      </c>
      <c r="K11">
        <v>284</v>
      </c>
    </row>
    <row r="12" spans="1:11" x14ac:dyDescent="0.25">
      <c r="A12" s="2" t="s">
        <v>145</v>
      </c>
    </row>
    <row r="13" spans="1:11" x14ac:dyDescent="0.25">
      <c r="A13" s="2" t="s">
        <v>114</v>
      </c>
    </row>
    <row r="14" spans="1:11" x14ac:dyDescent="0.25">
      <c r="A14" s="2" t="s">
        <v>146</v>
      </c>
    </row>
    <row r="15" spans="1:11" x14ac:dyDescent="0.25">
      <c r="A15" s="2" t="s">
        <v>95</v>
      </c>
    </row>
    <row r="16" spans="1:11" x14ac:dyDescent="0.25">
      <c r="A16" s="2" t="s">
        <v>119</v>
      </c>
    </row>
    <row r="17" spans="1:1" x14ac:dyDescent="0.25">
      <c r="A17" s="2" t="s">
        <v>147</v>
      </c>
    </row>
    <row r="18" spans="1:1" x14ac:dyDescent="0.25">
      <c r="A18" s="2" t="s">
        <v>86</v>
      </c>
    </row>
    <row r="19" spans="1:1" x14ac:dyDescent="0.25">
      <c r="A19" s="2" t="s">
        <v>148</v>
      </c>
    </row>
    <row r="20" spans="1:1" x14ac:dyDescent="0.25">
      <c r="A20" s="2" t="s">
        <v>112</v>
      </c>
    </row>
    <row r="21" spans="1:1" x14ac:dyDescent="0.25">
      <c r="A21" s="2" t="s">
        <v>118</v>
      </c>
    </row>
    <row r="22" spans="1:1" x14ac:dyDescent="0.25">
      <c r="A22" s="2" t="s">
        <v>117</v>
      </c>
    </row>
    <row r="23" spans="1:1" x14ac:dyDescent="0.25">
      <c r="A23" s="2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CED1-56C4-4321-9FEB-B35108B4EDFE}">
  <dimension ref="A1:K23"/>
  <sheetViews>
    <sheetView workbookViewId="0">
      <selection activeCell="G1" sqref="G1:G2"/>
    </sheetView>
  </sheetViews>
  <sheetFormatPr defaultRowHeight="15" x14ac:dyDescent="0.25"/>
  <cols>
    <col min="1" max="1" width="22.5703125" bestFit="1" customWidth="1"/>
  </cols>
  <sheetData>
    <row r="1" spans="1:11" x14ac:dyDescent="0.25">
      <c r="A1" t="s">
        <v>3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2" t="s">
        <v>139</v>
      </c>
      <c r="B2">
        <v>1.4788364364399999E-4</v>
      </c>
      <c r="C2">
        <v>2.5140219419500002E-3</v>
      </c>
      <c r="D2" t="s">
        <v>298</v>
      </c>
      <c r="E2" t="s">
        <v>218</v>
      </c>
      <c r="F2" t="s">
        <v>299</v>
      </c>
      <c r="G2" s="4">
        <f>LEN(H2)-LEN(SUBSTITUTE(H2,";",""))+1</f>
        <v>3</v>
      </c>
      <c r="H2" t="s">
        <v>280</v>
      </c>
      <c r="I2" t="s">
        <v>297</v>
      </c>
      <c r="J2">
        <v>67</v>
      </c>
      <c r="K2">
        <v>67</v>
      </c>
    </row>
    <row r="3" spans="1:11" x14ac:dyDescent="0.25">
      <c r="A3" s="2" t="s">
        <v>140</v>
      </c>
      <c r="B3">
        <v>9.8604583130199996E-4</v>
      </c>
      <c r="C3">
        <v>6.0350877166600002E-3</v>
      </c>
      <c r="D3" t="s">
        <v>300</v>
      </c>
      <c r="E3" t="s">
        <v>218</v>
      </c>
      <c r="F3" t="s">
        <v>301</v>
      </c>
      <c r="G3" s="4">
        <f t="shared" ref="G3:G7" si="0">LEN(H3)-LEN(SUBSTITUTE(H3,";",""))+1</f>
        <v>2</v>
      </c>
      <c r="H3" t="s">
        <v>288</v>
      </c>
      <c r="I3" t="s">
        <v>302</v>
      </c>
      <c r="J3">
        <v>30</v>
      </c>
      <c r="K3">
        <v>30</v>
      </c>
    </row>
    <row r="4" spans="1:11" x14ac:dyDescent="0.25">
      <c r="A4" s="2" t="s">
        <v>79</v>
      </c>
      <c r="B4">
        <v>1.1934789980799999E-3</v>
      </c>
      <c r="C4">
        <v>6.0350877166600002E-3</v>
      </c>
      <c r="D4" t="s">
        <v>303</v>
      </c>
      <c r="E4" t="s">
        <v>218</v>
      </c>
      <c r="F4" t="s">
        <v>304</v>
      </c>
      <c r="G4" s="4">
        <f t="shared" si="0"/>
        <v>2</v>
      </c>
      <c r="H4" t="s">
        <v>305</v>
      </c>
      <c r="I4" t="s">
        <v>306</v>
      </c>
      <c r="J4">
        <v>33</v>
      </c>
      <c r="K4">
        <v>33</v>
      </c>
    </row>
    <row r="5" spans="1:11" x14ac:dyDescent="0.25">
      <c r="A5" s="2" t="s">
        <v>141</v>
      </c>
      <c r="B5">
        <v>1.42002063921E-3</v>
      </c>
      <c r="C5">
        <v>6.0350877166600002E-3</v>
      </c>
      <c r="D5" t="s">
        <v>307</v>
      </c>
      <c r="E5" t="s">
        <v>218</v>
      </c>
      <c r="F5" t="s">
        <v>308</v>
      </c>
      <c r="G5" s="4">
        <f t="shared" si="0"/>
        <v>2</v>
      </c>
      <c r="H5" t="s">
        <v>309</v>
      </c>
      <c r="I5" t="s">
        <v>310</v>
      </c>
      <c r="J5">
        <v>36</v>
      </c>
      <c r="K5">
        <v>36</v>
      </c>
    </row>
    <row r="6" spans="1:11" x14ac:dyDescent="0.25">
      <c r="A6" s="2" t="s">
        <v>142</v>
      </c>
      <c r="B6">
        <v>2.5139611298900001E-3</v>
      </c>
      <c r="C6">
        <v>8.5474678416400003E-3</v>
      </c>
      <c r="D6" t="s">
        <v>311</v>
      </c>
      <c r="E6" t="s">
        <v>218</v>
      </c>
      <c r="F6" t="s">
        <v>312</v>
      </c>
      <c r="G6" s="4">
        <f t="shared" si="0"/>
        <v>2</v>
      </c>
      <c r="H6" t="s">
        <v>309</v>
      </c>
      <c r="I6" t="s">
        <v>313</v>
      </c>
      <c r="J6">
        <v>48</v>
      </c>
      <c r="K6">
        <v>48</v>
      </c>
    </row>
    <row r="7" spans="1:11" x14ac:dyDescent="0.25">
      <c r="A7" s="2" t="s">
        <v>143</v>
      </c>
      <c r="B7">
        <v>5.2721119323799999E-3</v>
      </c>
      <c r="C7">
        <v>1.49376504751E-2</v>
      </c>
      <c r="D7" t="s">
        <v>314</v>
      </c>
      <c r="E7" t="s">
        <v>218</v>
      </c>
      <c r="F7" t="s">
        <v>315</v>
      </c>
      <c r="G7" s="4">
        <f t="shared" si="0"/>
        <v>2</v>
      </c>
      <c r="H7" t="s">
        <v>316</v>
      </c>
      <c r="I7" t="s">
        <v>317</v>
      </c>
      <c r="J7">
        <v>70</v>
      </c>
      <c r="K7">
        <v>70</v>
      </c>
    </row>
    <row r="8" spans="1:11" x14ac:dyDescent="0.25">
      <c r="A8" s="2" t="s">
        <v>81</v>
      </c>
    </row>
    <row r="9" spans="1:11" x14ac:dyDescent="0.25">
      <c r="A9" s="2" t="s">
        <v>77</v>
      </c>
    </row>
    <row r="10" spans="1:11" x14ac:dyDescent="0.25">
      <c r="A10" s="2" t="s">
        <v>110</v>
      </c>
    </row>
    <row r="11" spans="1:11" x14ac:dyDescent="0.25">
      <c r="A11" s="2" t="s">
        <v>144</v>
      </c>
    </row>
    <row r="12" spans="1:11" x14ac:dyDescent="0.25">
      <c r="A12" s="2" t="s">
        <v>145</v>
      </c>
    </row>
    <row r="13" spans="1:11" x14ac:dyDescent="0.25">
      <c r="A13" s="2" t="s">
        <v>114</v>
      </c>
    </row>
    <row r="14" spans="1:11" x14ac:dyDescent="0.25">
      <c r="A14" s="2" t="s">
        <v>146</v>
      </c>
    </row>
    <row r="15" spans="1:11" x14ac:dyDescent="0.25">
      <c r="A15" s="2" t="s">
        <v>95</v>
      </c>
    </row>
    <row r="16" spans="1:11" x14ac:dyDescent="0.25">
      <c r="A16" s="2" t="s">
        <v>119</v>
      </c>
    </row>
    <row r="17" spans="1:1" x14ac:dyDescent="0.25">
      <c r="A17" s="2" t="s">
        <v>147</v>
      </c>
    </row>
    <row r="18" spans="1:1" x14ac:dyDescent="0.25">
      <c r="A18" s="2" t="s">
        <v>86</v>
      </c>
    </row>
    <row r="19" spans="1:1" x14ac:dyDescent="0.25">
      <c r="A19" s="2" t="s">
        <v>148</v>
      </c>
    </row>
    <row r="20" spans="1:1" x14ac:dyDescent="0.25">
      <c r="A20" s="2" t="s">
        <v>112</v>
      </c>
    </row>
    <row r="21" spans="1:1" x14ac:dyDescent="0.25">
      <c r="A21" s="2" t="s">
        <v>118</v>
      </c>
    </row>
    <row r="22" spans="1:1" x14ac:dyDescent="0.25">
      <c r="A22" s="2" t="s">
        <v>117</v>
      </c>
    </row>
    <row r="23" spans="1:1" x14ac:dyDescent="0.25">
      <c r="A23" s="2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D515-D80F-4201-BDE2-1BB328F40141}">
  <dimension ref="A1:K69"/>
  <sheetViews>
    <sheetView workbookViewId="0">
      <selection activeCell="G2" sqref="G2:G11"/>
    </sheetView>
  </sheetViews>
  <sheetFormatPr defaultRowHeight="15" x14ac:dyDescent="0.25"/>
  <cols>
    <col min="1" max="1" width="22.140625" bestFit="1" customWidth="1"/>
  </cols>
  <sheetData>
    <row r="1" spans="1:11" x14ac:dyDescent="0.25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1" t="s">
        <v>4</v>
      </c>
      <c r="B2" s="3">
        <v>6.5248718824899995E-16</v>
      </c>
      <c r="C2" s="3">
        <v>8.6128308848800005E-14</v>
      </c>
      <c r="D2" t="s">
        <v>158</v>
      </c>
      <c r="E2" t="s">
        <v>159</v>
      </c>
      <c r="F2" t="s">
        <v>160</v>
      </c>
      <c r="G2" s="4">
        <f>LEN(H2)-LEN(SUBSTITUTE(H2,";",""))+1</f>
        <v>11</v>
      </c>
      <c r="H2" t="s">
        <v>318</v>
      </c>
      <c r="I2" t="s">
        <v>319</v>
      </c>
      <c r="J2">
        <v>62</v>
      </c>
      <c r="K2">
        <v>62</v>
      </c>
    </row>
    <row r="3" spans="1:11" x14ac:dyDescent="0.25">
      <c r="A3" s="1" t="s">
        <v>5</v>
      </c>
      <c r="B3" s="3">
        <v>2.5310812731899999E-11</v>
      </c>
      <c r="C3" s="3">
        <v>1.6705136403099999E-9</v>
      </c>
      <c r="D3" t="s">
        <v>167</v>
      </c>
      <c r="E3" t="s">
        <v>159</v>
      </c>
      <c r="F3" t="s">
        <v>168</v>
      </c>
      <c r="G3" s="4">
        <f t="shared" ref="G3:G11" si="0">LEN(H3)-LEN(SUBSTITUTE(H3,";",""))+1</f>
        <v>12</v>
      </c>
      <c r="H3" t="s">
        <v>320</v>
      </c>
      <c r="I3" t="s">
        <v>321</v>
      </c>
      <c r="J3">
        <v>207</v>
      </c>
      <c r="K3">
        <v>207</v>
      </c>
    </row>
    <row r="4" spans="1:11" x14ac:dyDescent="0.25">
      <c r="A4" s="1" t="s">
        <v>6</v>
      </c>
      <c r="B4" s="3">
        <v>5.8127534178499997E-9</v>
      </c>
      <c r="C4" s="3">
        <v>2.5576115038499998E-7</v>
      </c>
      <c r="D4" t="s">
        <v>193</v>
      </c>
      <c r="E4" t="s">
        <v>159</v>
      </c>
      <c r="F4" t="s">
        <v>194</v>
      </c>
      <c r="G4" s="4">
        <f t="shared" si="0"/>
        <v>25</v>
      </c>
      <c r="H4" t="s">
        <v>322</v>
      </c>
      <c r="I4" t="s">
        <v>323</v>
      </c>
      <c r="J4">
        <v>1828</v>
      </c>
      <c r="K4">
        <v>1827</v>
      </c>
    </row>
    <row r="5" spans="1:11" x14ac:dyDescent="0.25">
      <c r="A5" s="1" t="s">
        <v>7</v>
      </c>
      <c r="B5" s="3">
        <v>9.1393190098999994E-9</v>
      </c>
      <c r="C5" s="3">
        <v>3.0159752732700001E-7</v>
      </c>
      <c r="D5" t="s">
        <v>191</v>
      </c>
      <c r="E5" t="s">
        <v>159</v>
      </c>
      <c r="F5" t="s">
        <v>192</v>
      </c>
      <c r="G5" s="4">
        <f t="shared" si="0"/>
        <v>12</v>
      </c>
      <c r="H5" t="s">
        <v>324</v>
      </c>
      <c r="I5" t="s">
        <v>325</v>
      </c>
      <c r="J5">
        <v>346</v>
      </c>
      <c r="K5">
        <v>346</v>
      </c>
    </row>
    <row r="6" spans="1:11" x14ac:dyDescent="0.25">
      <c r="A6" s="1" t="s">
        <v>8</v>
      </c>
      <c r="B6" s="3">
        <v>3.0552773694599998E-8</v>
      </c>
      <c r="C6" s="3">
        <v>7.2582049197900005E-7</v>
      </c>
      <c r="D6" t="s">
        <v>181</v>
      </c>
      <c r="E6" t="s">
        <v>159</v>
      </c>
      <c r="F6" t="s">
        <v>182</v>
      </c>
      <c r="G6" s="4">
        <f t="shared" si="0"/>
        <v>13</v>
      </c>
      <c r="H6" t="s">
        <v>326</v>
      </c>
      <c r="I6" t="s">
        <v>327</v>
      </c>
      <c r="J6">
        <v>471</v>
      </c>
      <c r="K6">
        <v>471</v>
      </c>
    </row>
    <row r="7" spans="1:11" x14ac:dyDescent="0.25">
      <c r="A7" s="1" t="s">
        <v>9</v>
      </c>
      <c r="B7" s="3">
        <v>3.29918405445E-8</v>
      </c>
      <c r="C7" s="3">
        <v>7.2582049197900005E-7</v>
      </c>
      <c r="D7" t="s">
        <v>195</v>
      </c>
      <c r="E7" t="s">
        <v>159</v>
      </c>
      <c r="F7" t="s">
        <v>196</v>
      </c>
      <c r="G7" s="4">
        <f t="shared" si="0"/>
        <v>10</v>
      </c>
      <c r="H7" t="s">
        <v>328</v>
      </c>
      <c r="I7" t="s">
        <v>329</v>
      </c>
      <c r="J7">
        <v>240</v>
      </c>
      <c r="K7">
        <v>240</v>
      </c>
    </row>
    <row r="8" spans="1:11" x14ac:dyDescent="0.25">
      <c r="A8" s="1" t="s">
        <v>10</v>
      </c>
      <c r="B8" s="3">
        <v>3.0179275138900002E-7</v>
      </c>
      <c r="C8" s="3">
        <v>5.6909490261900003E-6</v>
      </c>
      <c r="D8" t="s">
        <v>197</v>
      </c>
      <c r="E8" t="s">
        <v>159</v>
      </c>
      <c r="F8" t="s">
        <v>198</v>
      </c>
      <c r="G8" s="4">
        <f t="shared" si="0"/>
        <v>12</v>
      </c>
      <c r="H8" t="s">
        <v>324</v>
      </c>
      <c r="I8" t="s">
        <v>325</v>
      </c>
      <c r="J8">
        <v>476</v>
      </c>
      <c r="K8">
        <v>476</v>
      </c>
    </row>
    <row r="9" spans="1:11" x14ac:dyDescent="0.25">
      <c r="A9" s="1" t="s">
        <v>11</v>
      </c>
      <c r="B9" s="3">
        <v>4.3014637322700001E-7</v>
      </c>
      <c r="C9" s="3">
        <v>7.0974151582500002E-6</v>
      </c>
      <c r="D9" t="s">
        <v>203</v>
      </c>
      <c r="E9" t="s">
        <v>159</v>
      </c>
      <c r="F9" t="s">
        <v>204</v>
      </c>
      <c r="G9" s="4">
        <f t="shared" si="0"/>
        <v>10</v>
      </c>
      <c r="H9" t="s">
        <v>330</v>
      </c>
      <c r="I9" t="s">
        <v>331</v>
      </c>
      <c r="J9">
        <v>316</v>
      </c>
      <c r="K9">
        <v>316</v>
      </c>
    </row>
    <row r="10" spans="1:11" x14ac:dyDescent="0.25">
      <c r="A10" s="1" t="s">
        <v>12</v>
      </c>
      <c r="B10" s="3">
        <v>1.8054107943199999E-5</v>
      </c>
      <c r="C10">
        <v>2.6479358316600001E-4</v>
      </c>
      <c r="D10" t="s">
        <v>209</v>
      </c>
      <c r="E10" t="s">
        <v>159</v>
      </c>
      <c r="F10" t="s">
        <v>210</v>
      </c>
      <c r="G10" s="4">
        <f t="shared" si="0"/>
        <v>12</v>
      </c>
      <c r="H10" t="s">
        <v>324</v>
      </c>
      <c r="I10" t="s">
        <v>325</v>
      </c>
      <c r="J10">
        <v>706</v>
      </c>
      <c r="K10">
        <v>706</v>
      </c>
    </row>
    <row r="11" spans="1:11" x14ac:dyDescent="0.25">
      <c r="A11" s="1" t="s">
        <v>13</v>
      </c>
      <c r="B11" s="3">
        <v>3.31324117425E-5</v>
      </c>
      <c r="C11">
        <v>4.2006871542600002E-4</v>
      </c>
      <c r="D11" t="s">
        <v>201</v>
      </c>
      <c r="E11" t="s">
        <v>159</v>
      </c>
      <c r="F11" t="s">
        <v>202</v>
      </c>
      <c r="G11" s="4">
        <f t="shared" si="0"/>
        <v>3</v>
      </c>
      <c r="H11" t="s">
        <v>332</v>
      </c>
      <c r="I11" t="s">
        <v>333</v>
      </c>
      <c r="J11">
        <v>16</v>
      </c>
      <c r="K11">
        <v>16</v>
      </c>
    </row>
    <row r="12" spans="1:11" x14ac:dyDescent="0.25">
      <c r="A12" s="1" t="s">
        <v>14</v>
      </c>
      <c r="B12" s="3"/>
    </row>
    <row r="13" spans="1:11" x14ac:dyDescent="0.25">
      <c r="A13" s="1" t="s">
        <v>15</v>
      </c>
      <c r="B13" s="3"/>
    </row>
    <row r="14" spans="1:11" x14ac:dyDescent="0.25">
      <c r="A14" s="1" t="s">
        <v>16</v>
      </c>
      <c r="B14" s="3"/>
    </row>
    <row r="15" spans="1:11" x14ac:dyDescent="0.25">
      <c r="A15" s="1" t="s">
        <v>17</v>
      </c>
      <c r="B15" s="3"/>
    </row>
    <row r="16" spans="1:11" x14ac:dyDescent="0.25">
      <c r="A16" s="1" t="s">
        <v>18</v>
      </c>
      <c r="B16" s="3"/>
    </row>
    <row r="17" spans="1:2" x14ac:dyDescent="0.25">
      <c r="A17" s="1" t="s">
        <v>19</v>
      </c>
      <c r="B17" s="3"/>
    </row>
    <row r="18" spans="1:2" x14ac:dyDescent="0.25">
      <c r="A18" s="1" t="s">
        <v>20</v>
      </c>
      <c r="B18" s="3"/>
    </row>
    <row r="19" spans="1:2" x14ac:dyDescent="0.25">
      <c r="A19" s="1" t="s">
        <v>21</v>
      </c>
      <c r="B19" s="3"/>
    </row>
    <row r="20" spans="1:2" x14ac:dyDescent="0.25">
      <c r="A20" s="1" t="s">
        <v>22</v>
      </c>
      <c r="B20" s="3"/>
    </row>
    <row r="21" spans="1:2" x14ac:dyDescent="0.25">
      <c r="A21" s="1" t="s">
        <v>23</v>
      </c>
    </row>
    <row r="22" spans="1:2" x14ac:dyDescent="0.25">
      <c r="A22" s="1" t="s">
        <v>24</v>
      </c>
    </row>
    <row r="23" spans="1:2" x14ac:dyDescent="0.25">
      <c r="A23" s="1" t="s">
        <v>25</v>
      </c>
    </row>
    <row r="24" spans="1:2" x14ac:dyDescent="0.25">
      <c r="A24" s="1" t="s">
        <v>26</v>
      </c>
    </row>
    <row r="25" spans="1:2" x14ac:dyDescent="0.25">
      <c r="A25" s="1" t="s">
        <v>27</v>
      </c>
    </row>
    <row r="26" spans="1:2" x14ac:dyDescent="0.25">
      <c r="A26" s="1" t="s">
        <v>28</v>
      </c>
    </row>
    <row r="27" spans="1:2" x14ac:dyDescent="0.25">
      <c r="A27" s="1" t="s">
        <v>29</v>
      </c>
    </row>
    <row r="28" spans="1:2" x14ac:dyDescent="0.25">
      <c r="A28" s="1" t="s">
        <v>30</v>
      </c>
    </row>
    <row r="29" spans="1:2" x14ac:dyDescent="0.25">
      <c r="A29" s="1" t="s">
        <v>31</v>
      </c>
    </row>
    <row r="30" spans="1:2" x14ac:dyDescent="0.25">
      <c r="A30" s="1" t="s">
        <v>32</v>
      </c>
    </row>
    <row r="31" spans="1:2" x14ac:dyDescent="0.25">
      <c r="A31" s="1" t="s">
        <v>33</v>
      </c>
    </row>
    <row r="32" spans="1:2" x14ac:dyDescent="0.25">
      <c r="A32" s="1" t="s">
        <v>34</v>
      </c>
    </row>
    <row r="33" spans="1:1" x14ac:dyDescent="0.25">
      <c r="A33" s="1" t="s">
        <v>35</v>
      </c>
    </row>
    <row r="34" spans="1:1" x14ac:dyDescent="0.25">
      <c r="A34" s="1" t="s">
        <v>36</v>
      </c>
    </row>
    <row r="35" spans="1:1" x14ac:dyDescent="0.25">
      <c r="A35" s="1" t="s">
        <v>37</v>
      </c>
    </row>
    <row r="36" spans="1:1" x14ac:dyDescent="0.25">
      <c r="A36" s="1" t="s">
        <v>38</v>
      </c>
    </row>
    <row r="37" spans="1:1" x14ac:dyDescent="0.25">
      <c r="A37" s="1" t="s">
        <v>39</v>
      </c>
    </row>
    <row r="38" spans="1:1" x14ac:dyDescent="0.25">
      <c r="A38" s="1" t="s">
        <v>40</v>
      </c>
    </row>
    <row r="39" spans="1:1" x14ac:dyDescent="0.25">
      <c r="A39" s="1" t="s">
        <v>41</v>
      </c>
    </row>
    <row r="40" spans="1:1" x14ac:dyDescent="0.25">
      <c r="A40" s="1" t="s">
        <v>42</v>
      </c>
    </row>
    <row r="41" spans="1:1" x14ac:dyDescent="0.25">
      <c r="A41" s="1" t="s">
        <v>43</v>
      </c>
    </row>
    <row r="42" spans="1:1" x14ac:dyDescent="0.25">
      <c r="A42" s="1" t="s">
        <v>44</v>
      </c>
    </row>
    <row r="43" spans="1:1" x14ac:dyDescent="0.25">
      <c r="A43" s="1" t="s">
        <v>45</v>
      </c>
    </row>
    <row r="44" spans="1:1" x14ac:dyDescent="0.25">
      <c r="A44" s="1" t="s">
        <v>46</v>
      </c>
    </row>
    <row r="45" spans="1:1" x14ac:dyDescent="0.25">
      <c r="A45" s="1" t="s">
        <v>47</v>
      </c>
    </row>
    <row r="46" spans="1:1" x14ac:dyDescent="0.25">
      <c r="A46" s="1" t="s">
        <v>48</v>
      </c>
    </row>
    <row r="47" spans="1:1" x14ac:dyDescent="0.25">
      <c r="A47" s="1" t="s">
        <v>49</v>
      </c>
    </row>
    <row r="48" spans="1:1" x14ac:dyDescent="0.25">
      <c r="A48" s="1" t="s">
        <v>50</v>
      </c>
    </row>
    <row r="49" spans="1:1" x14ac:dyDescent="0.25">
      <c r="A49" s="1" t="s">
        <v>51</v>
      </c>
    </row>
    <row r="50" spans="1:1" x14ac:dyDescent="0.25">
      <c r="A50" s="1" t="s">
        <v>52</v>
      </c>
    </row>
    <row r="51" spans="1:1" x14ac:dyDescent="0.25">
      <c r="A51" s="1" t="s">
        <v>53</v>
      </c>
    </row>
    <row r="52" spans="1:1" x14ac:dyDescent="0.25">
      <c r="A52" s="1" t="s">
        <v>54</v>
      </c>
    </row>
    <row r="53" spans="1:1" x14ac:dyDescent="0.25">
      <c r="A53" s="1" t="s">
        <v>55</v>
      </c>
    </row>
    <row r="54" spans="1:1" x14ac:dyDescent="0.25">
      <c r="A54" s="1" t="s">
        <v>56</v>
      </c>
    </row>
    <row r="55" spans="1:1" x14ac:dyDescent="0.25">
      <c r="A55" s="1" t="s">
        <v>57</v>
      </c>
    </row>
    <row r="56" spans="1:1" x14ac:dyDescent="0.25">
      <c r="A56" s="1" t="s">
        <v>58</v>
      </c>
    </row>
    <row r="57" spans="1:1" x14ac:dyDescent="0.25">
      <c r="A57" s="1" t="s">
        <v>59</v>
      </c>
    </row>
    <row r="58" spans="1:1" x14ac:dyDescent="0.25">
      <c r="A58" s="1" t="s">
        <v>60</v>
      </c>
    </row>
    <row r="59" spans="1:1" x14ac:dyDescent="0.25">
      <c r="A59" s="1" t="s">
        <v>61</v>
      </c>
    </row>
    <row r="60" spans="1:1" x14ac:dyDescent="0.25">
      <c r="A60" s="1" t="s">
        <v>62</v>
      </c>
    </row>
    <row r="61" spans="1:1" x14ac:dyDescent="0.25">
      <c r="A61" s="1" t="s">
        <v>63</v>
      </c>
    </row>
    <row r="62" spans="1:1" x14ac:dyDescent="0.25">
      <c r="A62" s="1" t="s">
        <v>64</v>
      </c>
    </row>
    <row r="63" spans="1:1" x14ac:dyDescent="0.25">
      <c r="A63" s="1" t="s">
        <v>65</v>
      </c>
    </row>
    <row r="64" spans="1:1" x14ac:dyDescent="0.25">
      <c r="A64" s="1" t="s">
        <v>66</v>
      </c>
    </row>
    <row r="65" spans="1:1" x14ac:dyDescent="0.25">
      <c r="A65" s="1" t="s">
        <v>67</v>
      </c>
    </row>
    <row r="66" spans="1:1" x14ac:dyDescent="0.25">
      <c r="A66" s="1" t="s">
        <v>68</v>
      </c>
    </row>
    <row r="67" spans="1:1" x14ac:dyDescent="0.25">
      <c r="A67" s="1" t="s">
        <v>69</v>
      </c>
    </row>
    <row r="68" spans="1:1" x14ac:dyDescent="0.25">
      <c r="A68" s="1" t="s">
        <v>70</v>
      </c>
    </row>
    <row r="69" spans="1:1" x14ac:dyDescent="0.25">
      <c r="A69" s="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9F7C-C54D-4E19-B571-D407DC84D39F}">
  <dimension ref="A1:K69"/>
  <sheetViews>
    <sheetView topLeftCell="B1" workbookViewId="0">
      <selection activeCell="I14" sqref="I14"/>
    </sheetView>
  </sheetViews>
  <sheetFormatPr defaultRowHeight="15" x14ac:dyDescent="0.25"/>
  <cols>
    <col min="1" max="1" width="22.140625" bestFit="1" customWidth="1"/>
    <col min="4" max="4" width="77.7109375" bestFit="1" customWidth="1"/>
    <col min="6" max="6" width="14" bestFit="1" customWidth="1"/>
    <col min="7" max="7" width="14" customWidth="1"/>
    <col min="9" max="9" width="105.28515625" bestFit="1" customWidth="1"/>
  </cols>
  <sheetData>
    <row r="1" spans="1:11" x14ac:dyDescent="0.25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1" t="s">
        <v>4</v>
      </c>
      <c r="B2" s="3">
        <v>2.9124683530500002E-21</v>
      </c>
      <c r="C2" s="3">
        <v>2.7668449353999999E-19</v>
      </c>
      <c r="D2" t="s">
        <v>217</v>
      </c>
      <c r="E2" t="s">
        <v>218</v>
      </c>
      <c r="F2" t="s">
        <v>219</v>
      </c>
      <c r="G2" s="4">
        <f>LEN(H2)-LEN(SUBSTITUTE(H2,";",""))+1</f>
        <v>16</v>
      </c>
      <c r="H2" t="s">
        <v>334</v>
      </c>
      <c r="I2" t="s">
        <v>335</v>
      </c>
      <c r="J2">
        <v>112</v>
      </c>
      <c r="K2">
        <v>112</v>
      </c>
    </row>
    <row r="3" spans="1:11" x14ac:dyDescent="0.25">
      <c r="A3" s="1" t="s">
        <v>5</v>
      </c>
      <c r="B3" s="3">
        <v>5.8633001442100005E-20</v>
      </c>
      <c r="C3" s="3">
        <v>2.7850675684999998E-18</v>
      </c>
      <c r="D3" t="s">
        <v>254</v>
      </c>
      <c r="E3" t="s">
        <v>218</v>
      </c>
      <c r="F3" t="s">
        <v>255</v>
      </c>
      <c r="G3" s="4">
        <f t="shared" ref="G3:G11" si="0">LEN(H3)-LEN(SUBSTITUTE(H3,";",""))+1</f>
        <v>20</v>
      </c>
      <c r="H3" t="s">
        <v>336</v>
      </c>
      <c r="I3" t="s">
        <v>337</v>
      </c>
      <c r="J3">
        <v>295</v>
      </c>
      <c r="K3">
        <v>295</v>
      </c>
    </row>
    <row r="4" spans="1:11" x14ac:dyDescent="0.25">
      <c r="A4" s="1" t="s">
        <v>6</v>
      </c>
      <c r="B4" s="3">
        <v>1.58757081624E-18</v>
      </c>
      <c r="C4" s="3">
        <v>5.0273075847600002E-17</v>
      </c>
      <c r="D4" t="s">
        <v>238</v>
      </c>
      <c r="E4" t="s">
        <v>218</v>
      </c>
      <c r="F4" t="s">
        <v>239</v>
      </c>
      <c r="G4" s="4">
        <f t="shared" si="0"/>
        <v>14</v>
      </c>
      <c r="H4" t="s">
        <v>338</v>
      </c>
      <c r="I4" t="s">
        <v>339</v>
      </c>
      <c r="J4">
        <v>100</v>
      </c>
      <c r="K4">
        <v>100</v>
      </c>
    </row>
    <row r="5" spans="1:11" x14ac:dyDescent="0.25">
      <c r="A5" s="1" t="s">
        <v>7</v>
      </c>
      <c r="B5" s="3">
        <v>1.8124270358699999E-14</v>
      </c>
      <c r="C5" s="3">
        <v>4.30451421019E-13</v>
      </c>
      <c r="D5" t="s">
        <v>250</v>
      </c>
      <c r="E5" t="s">
        <v>218</v>
      </c>
      <c r="F5" t="s">
        <v>251</v>
      </c>
      <c r="G5" s="4">
        <f t="shared" si="0"/>
        <v>14</v>
      </c>
      <c r="H5" t="s">
        <v>340</v>
      </c>
      <c r="I5" t="s">
        <v>341</v>
      </c>
      <c r="J5">
        <v>192</v>
      </c>
      <c r="K5">
        <v>192</v>
      </c>
    </row>
    <row r="6" spans="1:11" x14ac:dyDescent="0.25">
      <c r="A6" s="1" t="s">
        <v>8</v>
      </c>
      <c r="B6" s="3">
        <v>2.5682467370300001E-12</v>
      </c>
      <c r="C6" s="3">
        <v>4.8796688003600003E-11</v>
      </c>
      <c r="D6" t="s">
        <v>234</v>
      </c>
      <c r="E6" t="s">
        <v>218</v>
      </c>
      <c r="F6" t="s">
        <v>235</v>
      </c>
      <c r="G6" s="4">
        <f t="shared" si="0"/>
        <v>10</v>
      </c>
      <c r="H6" t="s">
        <v>342</v>
      </c>
      <c r="I6" t="s">
        <v>343</v>
      </c>
      <c r="J6">
        <v>93</v>
      </c>
      <c r="K6">
        <v>92</v>
      </c>
    </row>
    <row r="7" spans="1:11" x14ac:dyDescent="0.25">
      <c r="A7" s="1" t="s">
        <v>9</v>
      </c>
      <c r="B7" s="3">
        <v>3.2010241023200001E-12</v>
      </c>
      <c r="C7" s="3">
        <v>5.0682881620000002E-11</v>
      </c>
      <c r="D7" t="s">
        <v>222</v>
      </c>
      <c r="E7" t="s">
        <v>218</v>
      </c>
      <c r="F7" t="s">
        <v>223</v>
      </c>
      <c r="G7" s="4">
        <f t="shared" si="0"/>
        <v>10</v>
      </c>
      <c r="H7" t="s">
        <v>344</v>
      </c>
      <c r="I7" t="s">
        <v>345</v>
      </c>
      <c r="J7">
        <v>94</v>
      </c>
      <c r="K7">
        <v>94</v>
      </c>
    </row>
    <row r="8" spans="1:11" x14ac:dyDescent="0.25">
      <c r="A8" s="1" t="s">
        <v>10</v>
      </c>
      <c r="B8" s="3">
        <v>8.1302394190799996E-12</v>
      </c>
      <c r="C8" s="3">
        <v>1.10338963545E-10</v>
      </c>
      <c r="D8" t="s">
        <v>242</v>
      </c>
      <c r="E8" t="s">
        <v>218</v>
      </c>
      <c r="F8" t="s">
        <v>243</v>
      </c>
      <c r="G8" s="4">
        <f t="shared" si="0"/>
        <v>10</v>
      </c>
      <c r="H8" t="s">
        <v>346</v>
      </c>
      <c r="I8" t="s">
        <v>347</v>
      </c>
      <c r="J8">
        <v>104</v>
      </c>
      <c r="K8">
        <v>103</v>
      </c>
    </row>
    <row r="9" spans="1:11" x14ac:dyDescent="0.25">
      <c r="A9" s="1" t="s">
        <v>11</v>
      </c>
      <c r="B9" s="3">
        <v>2.5673879973000001E-9</v>
      </c>
      <c r="C9" s="3">
        <v>3.0487732467900003E-8</v>
      </c>
      <c r="D9" t="s">
        <v>230</v>
      </c>
      <c r="E9" t="s">
        <v>218</v>
      </c>
      <c r="F9" t="s">
        <v>231</v>
      </c>
      <c r="G9" s="4">
        <f t="shared" si="0"/>
        <v>7</v>
      </c>
      <c r="H9" t="s">
        <v>348</v>
      </c>
      <c r="I9" t="s">
        <v>349</v>
      </c>
      <c r="J9">
        <v>57</v>
      </c>
      <c r="K9">
        <v>57</v>
      </c>
    </row>
    <row r="10" spans="1:11" x14ac:dyDescent="0.25">
      <c r="A10" s="1" t="s">
        <v>12</v>
      </c>
      <c r="B10" s="3">
        <v>1.6596197497300001E-7</v>
      </c>
      <c r="C10" s="3">
        <v>1.75182084693E-6</v>
      </c>
      <c r="D10" t="s">
        <v>226</v>
      </c>
      <c r="E10" t="s">
        <v>218</v>
      </c>
      <c r="F10" t="s">
        <v>227</v>
      </c>
      <c r="G10" s="4">
        <f t="shared" si="0"/>
        <v>9</v>
      </c>
      <c r="H10" t="s">
        <v>350</v>
      </c>
      <c r="I10" t="s">
        <v>351</v>
      </c>
      <c r="J10">
        <v>215</v>
      </c>
      <c r="K10">
        <v>215</v>
      </c>
    </row>
    <row r="11" spans="1:11" x14ac:dyDescent="0.25">
      <c r="A11" s="1" t="s">
        <v>13</v>
      </c>
      <c r="B11" s="3">
        <v>3.4121224965900003E-7</v>
      </c>
      <c r="C11" s="3">
        <v>3.2415163717599999E-6</v>
      </c>
      <c r="D11" t="s">
        <v>256</v>
      </c>
      <c r="E11" t="s">
        <v>218</v>
      </c>
      <c r="F11" t="s">
        <v>257</v>
      </c>
      <c r="G11" s="4">
        <f t="shared" si="0"/>
        <v>6</v>
      </c>
      <c r="H11" t="s">
        <v>352</v>
      </c>
      <c r="I11" t="s">
        <v>353</v>
      </c>
      <c r="J11">
        <v>70</v>
      </c>
      <c r="K11">
        <v>70</v>
      </c>
    </row>
    <row r="12" spans="1:11" x14ac:dyDescent="0.25">
      <c r="A12" s="1" t="s">
        <v>14</v>
      </c>
      <c r="B12" s="3"/>
      <c r="C12" s="3"/>
    </row>
    <row r="13" spans="1:11" x14ac:dyDescent="0.25">
      <c r="A13" s="1" t="s">
        <v>15</v>
      </c>
      <c r="B13" s="3"/>
      <c r="C13" s="3"/>
    </row>
    <row r="14" spans="1:11" x14ac:dyDescent="0.25">
      <c r="A14" s="1" t="s">
        <v>16</v>
      </c>
      <c r="B14" s="3"/>
      <c r="C14" s="3"/>
    </row>
    <row r="15" spans="1:11" x14ac:dyDescent="0.25">
      <c r="A15" s="1" t="s">
        <v>17</v>
      </c>
      <c r="B15" s="3"/>
      <c r="C15" s="3"/>
    </row>
    <row r="16" spans="1:11" x14ac:dyDescent="0.25">
      <c r="A16" s="1" t="s">
        <v>18</v>
      </c>
      <c r="B16" s="3"/>
      <c r="C16" s="3"/>
    </row>
    <row r="17" spans="1:3" x14ac:dyDescent="0.25">
      <c r="A17" s="1" t="s">
        <v>19</v>
      </c>
      <c r="B17" s="3"/>
      <c r="C17" s="3"/>
    </row>
    <row r="18" spans="1:3" x14ac:dyDescent="0.25">
      <c r="A18" s="1" t="s">
        <v>20</v>
      </c>
      <c r="B18" s="3"/>
      <c r="C18" s="3"/>
    </row>
    <row r="19" spans="1:3" x14ac:dyDescent="0.25">
      <c r="A19" s="1" t="s">
        <v>21</v>
      </c>
      <c r="B19" s="3"/>
    </row>
    <row r="20" spans="1:3" x14ac:dyDescent="0.25">
      <c r="A20" s="1" t="s">
        <v>22</v>
      </c>
      <c r="B20" s="3"/>
    </row>
    <row r="21" spans="1:3" x14ac:dyDescent="0.25">
      <c r="A21" s="1" t="s">
        <v>23</v>
      </c>
      <c r="B21" s="3"/>
    </row>
    <row r="22" spans="1:3" x14ac:dyDescent="0.25">
      <c r="A22" s="1" t="s">
        <v>24</v>
      </c>
      <c r="B22" s="3"/>
    </row>
    <row r="23" spans="1:3" x14ac:dyDescent="0.25">
      <c r="A23" s="1" t="s">
        <v>25</v>
      </c>
      <c r="B23" s="3"/>
    </row>
    <row r="24" spans="1:3" x14ac:dyDescent="0.25">
      <c r="A24" s="1" t="s">
        <v>26</v>
      </c>
    </row>
    <row r="25" spans="1:3" x14ac:dyDescent="0.25">
      <c r="A25" s="1" t="s">
        <v>27</v>
      </c>
    </row>
    <row r="26" spans="1:3" x14ac:dyDescent="0.25">
      <c r="A26" s="1" t="s">
        <v>28</v>
      </c>
    </row>
    <row r="27" spans="1:3" x14ac:dyDescent="0.25">
      <c r="A27" s="1" t="s">
        <v>29</v>
      </c>
    </row>
    <row r="28" spans="1:3" x14ac:dyDescent="0.25">
      <c r="A28" s="1" t="s">
        <v>30</v>
      </c>
    </row>
    <row r="29" spans="1:3" x14ac:dyDescent="0.25">
      <c r="A29" s="1" t="s">
        <v>31</v>
      </c>
    </row>
    <row r="30" spans="1:3" x14ac:dyDescent="0.25">
      <c r="A30" s="1" t="s">
        <v>32</v>
      </c>
    </row>
    <row r="31" spans="1:3" x14ac:dyDescent="0.25">
      <c r="A31" s="1" t="s">
        <v>33</v>
      </c>
    </row>
    <row r="32" spans="1:3" x14ac:dyDescent="0.25">
      <c r="A32" s="1" t="s">
        <v>34</v>
      </c>
    </row>
    <row r="33" spans="1:1" x14ac:dyDescent="0.25">
      <c r="A33" s="1" t="s">
        <v>35</v>
      </c>
    </row>
    <row r="34" spans="1:1" x14ac:dyDescent="0.25">
      <c r="A34" s="1" t="s">
        <v>36</v>
      </c>
    </row>
    <row r="35" spans="1:1" x14ac:dyDescent="0.25">
      <c r="A35" s="1" t="s">
        <v>37</v>
      </c>
    </row>
    <row r="36" spans="1:1" x14ac:dyDescent="0.25">
      <c r="A36" s="1" t="s">
        <v>38</v>
      </c>
    </row>
    <row r="37" spans="1:1" x14ac:dyDescent="0.25">
      <c r="A37" s="1" t="s">
        <v>39</v>
      </c>
    </row>
    <row r="38" spans="1:1" x14ac:dyDescent="0.25">
      <c r="A38" s="1" t="s">
        <v>40</v>
      </c>
    </row>
    <row r="39" spans="1:1" x14ac:dyDescent="0.25">
      <c r="A39" s="1" t="s">
        <v>41</v>
      </c>
    </row>
    <row r="40" spans="1:1" x14ac:dyDescent="0.25">
      <c r="A40" s="1" t="s">
        <v>42</v>
      </c>
    </row>
    <row r="41" spans="1:1" x14ac:dyDescent="0.25">
      <c r="A41" s="1" t="s">
        <v>43</v>
      </c>
    </row>
    <row r="42" spans="1:1" x14ac:dyDescent="0.25">
      <c r="A42" s="1" t="s">
        <v>44</v>
      </c>
    </row>
    <row r="43" spans="1:1" x14ac:dyDescent="0.25">
      <c r="A43" s="1" t="s">
        <v>45</v>
      </c>
    </row>
    <row r="44" spans="1:1" x14ac:dyDescent="0.25">
      <c r="A44" s="1" t="s">
        <v>46</v>
      </c>
    </row>
    <row r="45" spans="1:1" x14ac:dyDescent="0.25">
      <c r="A45" s="1" t="s">
        <v>47</v>
      </c>
    </row>
    <row r="46" spans="1:1" x14ac:dyDescent="0.25">
      <c r="A46" s="1" t="s">
        <v>48</v>
      </c>
    </row>
    <row r="47" spans="1:1" x14ac:dyDescent="0.25">
      <c r="A47" s="1" t="s">
        <v>49</v>
      </c>
    </row>
    <row r="48" spans="1:1" x14ac:dyDescent="0.25">
      <c r="A48" s="1" t="s">
        <v>50</v>
      </c>
    </row>
    <row r="49" spans="1:1" x14ac:dyDescent="0.25">
      <c r="A49" s="1" t="s">
        <v>51</v>
      </c>
    </row>
    <row r="50" spans="1:1" x14ac:dyDescent="0.25">
      <c r="A50" s="1" t="s">
        <v>52</v>
      </c>
    </row>
    <row r="51" spans="1:1" x14ac:dyDescent="0.25">
      <c r="A51" s="1" t="s">
        <v>53</v>
      </c>
    </row>
    <row r="52" spans="1:1" x14ac:dyDescent="0.25">
      <c r="A52" s="1" t="s">
        <v>54</v>
      </c>
    </row>
    <row r="53" spans="1:1" x14ac:dyDescent="0.25">
      <c r="A53" s="1" t="s">
        <v>55</v>
      </c>
    </row>
    <row r="54" spans="1:1" x14ac:dyDescent="0.25">
      <c r="A54" s="1" t="s">
        <v>56</v>
      </c>
    </row>
    <row r="55" spans="1:1" x14ac:dyDescent="0.25">
      <c r="A55" s="1" t="s">
        <v>57</v>
      </c>
    </row>
    <row r="56" spans="1:1" x14ac:dyDescent="0.25">
      <c r="A56" s="1" t="s">
        <v>58</v>
      </c>
    </row>
    <row r="57" spans="1:1" x14ac:dyDescent="0.25">
      <c r="A57" s="1" t="s">
        <v>59</v>
      </c>
    </row>
    <row r="58" spans="1:1" x14ac:dyDescent="0.25">
      <c r="A58" s="1" t="s">
        <v>60</v>
      </c>
    </row>
    <row r="59" spans="1:1" x14ac:dyDescent="0.25">
      <c r="A59" s="1" t="s">
        <v>61</v>
      </c>
    </row>
    <row r="60" spans="1:1" x14ac:dyDescent="0.25">
      <c r="A60" s="1" t="s">
        <v>62</v>
      </c>
    </row>
    <row r="61" spans="1:1" x14ac:dyDescent="0.25">
      <c r="A61" s="1" t="s">
        <v>63</v>
      </c>
    </row>
    <row r="62" spans="1:1" x14ac:dyDescent="0.25">
      <c r="A62" s="1" t="s">
        <v>64</v>
      </c>
    </row>
    <row r="63" spans="1:1" x14ac:dyDescent="0.25">
      <c r="A63" s="1" t="s">
        <v>65</v>
      </c>
    </row>
    <row r="64" spans="1:1" x14ac:dyDescent="0.25">
      <c r="A64" s="1" t="s">
        <v>66</v>
      </c>
    </row>
    <row r="65" spans="1:1" x14ac:dyDescent="0.25">
      <c r="A65" s="1" t="s">
        <v>67</v>
      </c>
    </row>
    <row r="66" spans="1:1" x14ac:dyDescent="0.25">
      <c r="A66" s="1" t="s">
        <v>68</v>
      </c>
    </row>
    <row r="67" spans="1:1" x14ac:dyDescent="0.25">
      <c r="A67" s="1" t="s">
        <v>69</v>
      </c>
    </row>
    <row r="68" spans="1:1" x14ac:dyDescent="0.25">
      <c r="A68" s="1" t="s">
        <v>70</v>
      </c>
    </row>
    <row r="69" spans="1:1" x14ac:dyDescent="0.25">
      <c r="A69" s="1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54A5-DDE6-4377-A39F-B07878AD8C85}">
  <dimension ref="A1:K51"/>
  <sheetViews>
    <sheetView workbookViewId="0">
      <selection activeCell="G1" sqref="G1:G2"/>
    </sheetView>
  </sheetViews>
  <sheetFormatPr defaultRowHeight="15" x14ac:dyDescent="0.25"/>
  <cols>
    <col min="1" max="1" width="25.7109375" bestFit="1" customWidth="1"/>
  </cols>
  <sheetData>
    <row r="1" spans="1:11" x14ac:dyDescent="0.25">
      <c r="A1" t="s">
        <v>1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2" t="s">
        <v>72</v>
      </c>
      <c r="B2" s="3">
        <v>2.5286274510900002E-7</v>
      </c>
      <c r="C2" s="3">
        <v>2.5792000001200001E-5</v>
      </c>
      <c r="D2" t="s">
        <v>266</v>
      </c>
      <c r="E2" t="s">
        <v>159</v>
      </c>
      <c r="F2" t="s">
        <v>267</v>
      </c>
      <c r="G2" s="4">
        <f>LEN(H2)-LEN(SUBSTITUTE(H2,";",""))+1</f>
        <v>6</v>
      </c>
      <c r="H2" t="s">
        <v>358</v>
      </c>
      <c r="I2" t="s">
        <v>359</v>
      </c>
      <c r="J2">
        <v>73</v>
      </c>
      <c r="K2">
        <v>72</v>
      </c>
    </row>
    <row r="3" spans="1:11" x14ac:dyDescent="0.25">
      <c r="A3" s="2" t="s">
        <v>73</v>
      </c>
      <c r="B3" s="3">
        <v>1.0909079758799999E-6</v>
      </c>
      <c r="C3" s="3">
        <v>5.5636306769700002E-5</v>
      </c>
      <c r="D3" t="s">
        <v>278</v>
      </c>
      <c r="E3" t="s">
        <v>159</v>
      </c>
      <c r="F3" t="s">
        <v>279</v>
      </c>
      <c r="G3" s="4">
        <f t="shared" ref="G3:G13" si="0">LEN(H3)-LEN(SUBSTITUTE(H3,";",""))+1</f>
        <v>6</v>
      </c>
      <c r="H3" t="s">
        <v>358</v>
      </c>
      <c r="I3" t="s">
        <v>360</v>
      </c>
      <c r="J3">
        <v>93</v>
      </c>
      <c r="K3">
        <v>92</v>
      </c>
    </row>
    <row r="4" spans="1:11" x14ac:dyDescent="0.25">
      <c r="A4" s="2" t="s">
        <v>74</v>
      </c>
      <c r="B4" s="3">
        <v>1.40577893758E-5</v>
      </c>
      <c r="C4">
        <v>4.7796483877800001E-4</v>
      </c>
      <c r="D4" t="s">
        <v>199</v>
      </c>
      <c r="E4" t="s">
        <v>159</v>
      </c>
      <c r="F4" t="s">
        <v>200</v>
      </c>
      <c r="G4" s="4">
        <f t="shared" si="0"/>
        <v>4</v>
      </c>
      <c r="H4" t="s">
        <v>361</v>
      </c>
      <c r="I4" t="s">
        <v>362</v>
      </c>
      <c r="J4">
        <v>40</v>
      </c>
      <c r="K4">
        <v>40</v>
      </c>
    </row>
    <row r="5" spans="1:11" x14ac:dyDescent="0.25">
      <c r="A5" s="2" t="s">
        <v>75</v>
      </c>
      <c r="B5" s="3">
        <v>7.5789043487299999E-5</v>
      </c>
      <c r="C5">
        <v>1.6397806308199999E-3</v>
      </c>
      <c r="D5" t="s">
        <v>205</v>
      </c>
      <c r="E5" t="s">
        <v>159</v>
      </c>
      <c r="F5" t="s">
        <v>206</v>
      </c>
      <c r="G5" s="4">
        <f t="shared" si="0"/>
        <v>4</v>
      </c>
      <c r="H5" t="s">
        <v>361</v>
      </c>
      <c r="I5" t="s">
        <v>362</v>
      </c>
      <c r="J5">
        <v>61</v>
      </c>
      <c r="K5">
        <v>61</v>
      </c>
    </row>
    <row r="6" spans="1:11" x14ac:dyDescent="0.25">
      <c r="A6" s="2" t="s">
        <v>76</v>
      </c>
      <c r="B6" s="3">
        <v>8.0381403471600004E-5</v>
      </c>
      <c r="C6">
        <v>1.6397806308199999E-3</v>
      </c>
      <c r="D6" t="s">
        <v>295</v>
      </c>
      <c r="E6" t="s">
        <v>159</v>
      </c>
      <c r="F6" t="s">
        <v>296</v>
      </c>
      <c r="G6" s="4">
        <f t="shared" si="0"/>
        <v>7</v>
      </c>
      <c r="H6" t="s">
        <v>363</v>
      </c>
      <c r="I6" t="s">
        <v>364</v>
      </c>
      <c r="J6">
        <v>285</v>
      </c>
      <c r="K6">
        <v>284</v>
      </c>
    </row>
    <row r="7" spans="1:11" x14ac:dyDescent="0.25">
      <c r="A7" s="2" t="s">
        <v>77</v>
      </c>
      <c r="B7">
        <v>1.21718597457E-4</v>
      </c>
      <c r="C7">
        <v>2.06921615676E-3</v>
      </c>
      <c r="D7" t="s">
        <v>365</v>
      </c>
      <c r="E7" t="s">
        <v>159</v>
      </c>
      <c r="F7" t="s">
        <v>366</v>
      </c>
      <c r="G7" s="4">
        <f t="shared" si="0"/>
        <v>5</v>
      </c>
      <c r="H7" t="s">
        <v>367</v>
      </c>
      <c r="I7" t="s">
        <v>368</v>
      </c>
      <c r="J7">
        <v>131</v>
      </c>
      <c r="K7">
        <v>131</v>
      </c>
    </row>
    <row r="8" spans="1:11" x14ac:dyDescent="0.25">
      <c r="A8" s="2" t="s">
        <v>78</v>
      </c>
      <c r="B8">
        <v>1.4517290261299999E-4</v>
      </c>
      <c r="C8">
        <v>2.1153765809299998E-3</v>
      </c>
      <c r="D8" t="s">
        <v>369</v>
      </c>
      <c r="E8" t="s">
        <v>159</v>
      </c>
      <c r="F8" t="s">
        <v>370</v>
      </c>
      <c r="G8" s="4">
        <f t="shared" si="0"/>
        <v>5</v>
      </c>
      <c r="H8" t="s">
        <v>367</v>
      </c>
      <c r="I8" t="s">
        <v>368</v>
      </c>
      <c r="J8">
        <v>136</v>
      </c>
      <c r="K8">
        <v>136</v>
      </c>
    </row>
    <row r="9" spans="1:11" x14ac:dyDescent="0.25">
      <c r="A9" s="2" t="s">
        <v>79</v>
      </c>
      <c r="B9">
        <v>2.6764642624199999E-4</v>
      </c>
      <c r="C9">
        <v>3.4124919345799999E-3</v>
      </c>
      <c r="D9" t="s">
        <v>286</v>
      </c>
      <c r="E9" t="s">
        <v>159</v>
      </c>
      <c r="F9" t="s">
        <v>287</v>
      </c>
      <c r="G9" s="4">
        <f t="shared" si="0"/>
        <v>3</v>
      </c>
      <c r="H9" t="s">
        <v>371</v>
      </c>
      <c r="I9" t="s">
        <v>372</v>
      </c>
      <c r="J9">
        <v>35</v>
      </c>
      <c r="K9">
        <v>34</v>
      </c>
    </row>
    <row r="10" spans="1:11" x14ac:dyDescent="0.25">
      <c r="A10" s="2" t="s">
        <v>80</v>
      </c>
      <c r="B10">
        <v>4.1268844634799999E-4</v>
      </c>
      <c r="C10">
        <v>4.6771357252799999E-3</v>
      </c>
      <c r="D10" t="s">
        <v>207</v>
      </c>
      <c r="E10" t="s">
        <v>159</v>
      </c>
      <c r="F10" t="s">
        <v>208</v>
      </c>
      <c r="G10" s="4">
        <f t="shared" si="0"/>
        <v>12</v>
      </c>
      <c r="H10" t="s">
        <v>373</v>
      </c>
      <c r="I10" t="s">
        <v>374</v>
      </c>
      <c r="J10">
        <v>1065</v>
      </c>
      <c r="K10">
        <v>1064</v>
      </c>
    </row>
    <row r="11" spans="1:11" x14ac:dyDescent="0.25">
      <c r="A11" s="2" t="s">
        <v>81</v>
      </c>
      <c r="B11">
        <v>5.9940480856700003E-4</v>
      </c>
      <c r="C11">
        <v>6.0612335833600001E-3</v>
      </c>
      <c r="D11" t="s">
        <v>211</v>
      </c>
      <c r="E11" t="s">
        <v>159</v>
      </c>
      <c r="F11" t="s">
        <v>212</v>
      </c>
      <c r="G11" s="4">
        <f t="shared" si="0"/>
        <v>2</v>
      </c>
      <c r="H11" t="s">
        <v>213</v>
      </c>
      <c r="I11" t="s">
        <v>214</v>
      </c>
      <c r="J11">
        <v>10</v>
      </c>
      <c r="K11">
        <v>10</v>
      </c>
    </row>
    <row r="12" spans="1:11" x14ac:dyDescent="0.25">
      <c r="A12" s="2" t="s">
        <v>82</v>
      </c>
      <c r="B12">
        <v>6.5580666219799998E-4</v>
      </c>
      <c r="C12">
        <v>6.0612335833600001E-3</v>
      </c>
      <c r="D12" t="s">
        <v>193</v>
      </c>
      <c r="E12" t="s">
        <v>159</v>
      </c>
      <c r="F12" t="s">
        <v>194</v>
      </c>
      <c r="G12" s="4">
        <f t="shared" si="0"/>
        <v>16</v>
      </c>
      <c r="H12" t="s">
        <v>375</v>
      </c>
      <c r="I12" t="s">
        <v>376</v>
      </c>
      <c r="J12">
        <v>1828</v>
      </c>
      <c r="K12">
        <v>1827</v>
      </c>
    </row>
    <row r="13" spans="1:11" x14ac:dyDescent="0.25">
      <c r="A13" s="2" t="s">
        <v>83</v>
      </c>
      <c r="B13">
        <v>7.1308630392400004E-4</v>
      </c>
      <c r="C13">
        <v>6.0612335833600001E-3</v>
      </c>
      <c r="D13" t="s">
        <v>163</v>
      </c>
      <c r="E13" t="s">
        <v>159</v>
      </c>
      <c r="F13" t="s">
        <v>164</v>
      </c>
      <c r="G13" s="4">
        <f t="shared" si="0"/>
        <v>19</v>
      </c>
      <c r="H13" t="s">
        <v>377</v>
      </c>
      <c r="I13" t="s">
        <v>378</v>
      </c>
      <c r="J13">
        <v>2432</v>
      </c>
      <c r="K13">
        <v>2431</v>
      </c>
    </row>
    <row r="14" spans="1:11" x14ac:dyDescent="0.25">
      <c r="A14" s="2" t="s">
        <v>84</v>
      </c>
      <c r="G14" s="4"/>
    </row>
    <row r="15" spans="1:11" x14ac:dyDescent="0.25">
      <c r="A15" s="2" t="s">
        <v>85</v>
      </c>
      <c r="G15" s="4"/>
    </row>
    <row r="16" spans="1:11" x14ac:dyDescent="0.25">
      <c r="A16" s="2" t="s">
        <v>86</v>
      </c>
      <c r="G16" s="4"/>
    </row>
    <row r="17" spans="1:7" x14ac:dyDescent="0.25">
      <c r="A17" s="2" t="s">
        <v>87</v>
      </c>
      <c r="G17" s="4"/>
    </row>
    <row r="18" spans="1:7" x14ac:dyDescent="0.25">
      <c r="A18" s="2" t="s">
        <v>88</v>
      </c>
      <c r="G18" s="4"/>
    </row>
    <row r="19" spans="1:7" x14ac:dyDescent="0.25">
      <c r="A19" s="2" t="s">
        <v>89</v>
      </c>
      <c r="G19" s="4"/>
    </row>
    <row r="20" spans="1:7" x14ac:dyDescent="0.25">
      <c r="A20" s="2" t="s">
        <v>90</v>
      </c>
      <c r="G20" s="4"/>
    </row>
    <row r="21" spans="1:7" x14ac:dyDescent="0.25">
      <c r="A21" s="2" t="s">
        <v>91</v>
      </c>
      <c r="G21" s="4"/>
    </row>
    <row r="22" spans="1:7" x14ac:dyDescent="0.25">
      <c r="A22" s="2" t="s">
        <v>92</v>
      </c>
      <c r="G22" s="4"/>
    </row>
    <row r="23" spans="1:7" x14ac:dyDescent="0.25">
      <c r="A23" s="2" t="s">
        <v>93</v>
      </c>
      <c r="G23" s="4"/>
    </row>
    <row r="24" spans="1:7" x14ac:dyDescent="0.25">
      <c r="A24" s="2" t="s">
        <v>94</v>
      </c>
      <c r="G24" s="4"/>
    </row>
    <row r="25" spans="1:7" x14ac:dyDescent="0.25">
      <c r="A25" s="2" t="s">
        <v>95</v>
      </c>
      <c r="G25" s="4"/>
    </row>
    <row r="26" spans="1:7" x14ac:dyDescent="0.25">
      <c r="A26" s="2" t="s">
        <v>96</v>
      </c>
      <c r="G26" s="4"/>
    </row>
    <row r="27" spans="1:7" x14ac:dyDescent="0.25">
      <c r="A27" s="2" t="s">
        <v>97</v>
      </c>
      <c r="G27" s="4"/>
    </row>
    <row r="28" spans="1:7" x14ac:dyDescent="0.25">
      <c r="A28" s="2" t="s">
        <v>98</v>
      </c>
      <c r="G28" s="4"/>
    </row>
    <row r="29" spans="1:7" x14ac:dyDescent="0.25">
      <c r="A29" s="2" t="s">
        <v>99</v>
      </c>
      <c r="G29" s="4"/>
    </row>
    <row r="30" spans="1:7" x14ac:dyDescent="0.25">
      <c r="A30" s="2" t="s">
        <v>100</v>
      </c>
      <c r="G30" s="4"/>
    </row>
    <row r="31" spans="1:7" x14ac:dyDescent="0.25">
      <c r="A31" s="2" t="s">
        <v>101</v>
      </c>
      <c r="G31" s="4"/>
    </row>
    <row r="32" spans="1:7" x14ac:dyDescent="0.25">
      <c r="A32" s="2" t="s">
        <v>102</v>
      </c>
      <c r="G32" s="4"/>
    </row>
    <row r="33" spans="1:7" x14ac:dyDescent="0.25">
      <c r="A33" s="2" t="s">
        <v>103</v>
      </c>
      <c r="G33" s="4"/>
    </row>
    <row r="34" spans="1:7" x14ac:dyDescent="0.25">
      <c r="A34" s="2" t="s">
        <v>104</v>
      </c>
      <c r="G34" s="4"/>
    </row>
    <row r="35" spans="1:7" x14ac:dyDescent="0.25">
      <c r="A35" s="2" t="s">
        <v>105</v>
      </c>
      <c r="G35" s="4"/>
    </row>
    <row r="36" spans="1:7" x14ac:dyDescent="0.25">
      <c r="A36" s="2" t="s">
        <v>106</v>
      </c>
    </row>
    <row r="37" spans="1:7" x14ac:dyDescent="0.25">
      <c r="A37" s="2" t="s">
        <v>107</v>
      </c>
    </row>
    <row r="38" spans="1:7" x14ac:dyDescent="0.25">
      <c r="A38" s="2" t="s">
        <v>108</v>
      </c>
    </row>
    <row r="39" spans="1:7" x14ac:dyDescent="0.25">
      <c r="A39" s="2" t="s">
        <v>109</v>
      </c>
    </row>
    <row r="40" spans="1:7" x14ac:dyDescent="0.25">
      <c r="A40" s="2" t="s">
        <v>110</v>
      </c>
    </row>
    <row r="41" spans="1:7" x14ac:dyDescent="0.25">
      <c r="A41" s="2" t="s">
        <v>111</v>
      </c>
    </row>
    <row r="42" spans="1:7" x14ac:dyDescent="0.25">
      <c r="A42" s="2" t="s">
        <v>112</v>
      </c>
    </row>
    <row r="43" spans="1:7" x14ac:dyDescent="0.25">
      <c r="A43" s="2" t="s">
        <v>113</v>
      </c>
    </row>
    <row r="44" spans="1:7" x14ac:dyDescent="0.25">
      <c r="A44" s="2" t="s">
        <v>114</v>
      </c>
    </row>
    <row r="45" spans="1:7" x14ac:dyDescent="0.25">
      <c r="A45" s="2" t="s">
        <v>115</v>
      </c>
    </row>
    <row r="46" spans="1:7" x14ac:dyDescent="0.25">
      <c r="A46" s="2" t="s">
        <v>116</v>
      </c>
    </row>
    <row r="47" spans="1:7" x14ac:dyDescent="0.25">
      <c r="A47" s="2" t="s">
        <v>117</v>
      </c>
    </row>
    <row r="48" spans="1:7" x14ac:dyDescent="0.25">
      <c r="A48" s="2" t="s">
        <v>118</v>
      </c>
    </row>
    <row r="49" spans="1:1" x14ac:dyDescent="0.25">
      <c r="A49" s="2" t="s">
        <v>119</v>
      </c>
    </row>
    <row r="50" spans="1:1" x14ac:dyDescent="0.25">
      <c r="A50" s="2" t="s">
        <v>120</v>
      </c>
    </row>
    <row r="51" spans="1:1" x14ac:dyDescent="0.25">
      <c r="A51" s="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1FDF-FAB6-4118-B939-B7C2F114C47B}">
  <dimension ref="A1:K51"/>
  <sheetViews>
    <sheetView workbookViewId="0">
      <selection activeCell="G17" sqref="G17"/>
    </sheetView>
  </sheetViews>
  <sheetFormatPr defaultRowHeight="15" x14ac:dyDescent="0.25"/>
  <cols>
    <col min="1" max="1" width="25.7109375" bestFit="1" customWidth="1"/>
    <col min="4" max="4" width="58.7109375" bestFit="1" customWidth="1"/>
  </cols>
  <sheetData>
    <row r="1" spans="1:11" x14ac:dyDescent="0.25">
      <c r="A1" t="s">
        <v>1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403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s="2" t="s">
        <v>72</v>
      </c>
      <c r="B2" s="3">
        <v>5.5766440022300001E-10</v>
      </c>
      <c r="C2" s="3">
        <v>5.8554762023400001E-8</v>
      </c>
      <c r="D2" t="s">
        <v>258</v>
      </c>
      <c r="E2" t="s">
        <v>218</v>
      </c>
      <c r="F2" t="s">
        <v>259</v>
      </c>
      <c r="G2" s="4">
        <f>LEN(H2)-LEN(SUBSTITUTE(H2,";",""))+1</f>
        <v>12</v>
      </c>
      <c r="H2" t="s">
        <v>379</v>
      </c>
      <c r="I2" t="s">
        <v>380</v>
      </c>
      <c r="J2">
        <v>294</v>
      </c>
      <c r="K2">
        <v>294</v>
      </c>
    </row>
    <row r="3" spans="1:11" x14ac:dyDescent="0.25">
      <c r="A3" s="2" t="s">
        <v>73</v>
      </c>
      <c r="B3" s="3">
        <v>2.7432117027299998E-9</v>
      </c>
      <c r="C3" s="3">
        <v>1.4401861439300001E-7</v>
      </c>
      <c r="D3" t="s">
        <v>381</v>
      </c>
      <c r="E3" t="s">
        <v>218</v>
      </c>
      <c r="F3" t="s">
        <v>382</v>
      </c>
      <c r="G3" s="4">
        <f t="shared" ref="G3:G11" si="0">LEN(H3)-LEN(SUBSTITUTE(H3,";",""))+1</f>
        <v>10</v>
      </c>
      <c r="H3" t="s">
        <v>383</v>
      </c>
      <c r="I3" t="s">
        <v>384</v>
      </c>
      <c r="J3">
        <v>201</v>
      </c>
      <c r="K3">
        <v>201</v>
      </c>
    </row>
    <row r="4" spans="1:11" x14ac:dyDescent="0.25">
      <c r="A4" s="2" t="s">
        <v>74</v>
      </c>
      <c r="B4" s="3">
        <v>4.7225376026300002E-6</v>
      </c>
      <c r="C4">
        <v>1.65288816092E-4</v>
      </c>
      <c r="D4" t="s">
        <v>298</v>
      </c>
      <c r="E4" t="s">
        <v>218</v>
      </c>
      <c r="F4" t="s">
        <v>299</v>
      </c>
      <c r="G4" s="4">
        <f t="shared" si="0"/>
        <v>5</v>
      </c>
      <c r="H4" t="s">
        <v>385</v>
      </c>
      <c r="I4" t="s">
        <v>386</v>
      </c>
      <c r="J4">
        <v>67</v>
      </c>
      <c r="K4">
        <v>67</v>
      </c>
    </row>
    <row r="5" spans="1:11" x14ac:dyDescent="0.25">
      <c r="A5" s="2" t="s">
        <v>75</v>
      </c>
      <c r="B5" s="3">
        <v>6.4162482779199999E-6</v>
      </c>
      <c r="C5">
        <v>1.68426517295E-4</v>
      </c>
      <c r="D5" t="s">
        <v>303</v>
      </c>
      <c r="E5" t="s">
        <v>218</v>
      </c>
      <c r="F5" t="s">
        <v>304</v>
      </c>
      <c r="G5" s="4">
        <f t="shared" si="0"/>
        <v>4</v>
      </c>
      <c r="H5" t="s">
        <v>387</v>
      </c>
      <c r="I5" t="s">
        <v>388</v>
      </c>
      <c r="J5">
        <v>33</v>
      </c>
      <c r="K5">
        <v>33</v>
      </c>
    </row>
    <row r="6" spans="1:11" x14ac:dyDescent="0.25">
      <c r="A6" s="2" t="s">
        <v>76</v>
      </c>
      <c r="B6" s="3">
        <v>1.0622570742E-5</v>
      </c>
      <c r="C6">
        <v>2.23073985582E-4</v>
      </c>
      <c r="D6" t="s">
        <v>262</v>
      </c>
      <c r="E6" t="s">
        <v>218</v>
      </c>
      <c r="F6" t="s">
        <v>263</v>
      </c>
      <c r="G6" s="4">
        <f t="shared" si="0"/>
        <v>6</v>
      </c>
      <c r="H6" t="s">
        <v>389</v>
      </c>
      <c r="I6" t="s">
        <v>390</v>
      </c>
      <c r="J6">
        <v>136</v>
      </c>
      <c r="K6">
        <v>136</v>
      </c>
    </row>
    <row r="7" spans="1:11" x14ac:dyDescent="0.25">
      <c r="A7" s="2" t="s">
        <v>77</v>
      </c>
      <c r="B7" s="3">
        <v>2.1095744656899999E-5</v>
      </c>
      <c r="C7">
        <v>3.69175531496E-4</v>
      </c>
      <c r="D7" t="s">
        <v>264</v>
      </c>
      <c r="E7" t="s">
        <v>218</v>
      </c>
      <c r="F7" t="s">
        <v>265</v>
      </c>
      <c r="G7" s="4">
        <f t="shared" si="0"/>
        <v>10</v>
      </c>
      <c r="H7" t="s">
        <v>391</v>
      </c>
      <c r="I7" t="s">
        <v>392</v>
      </c>
      <c r="J7">
        <v>531</v>
      </c>
      <c r="K7">
        <v>531</v>
      </c>
    </row>
    <row r="8" spans="1:11" x14ac:dyDescent="0.25">
      <c r="A8" s="2" t="s">
        <v>78</v>
      </c>
      <c r="B8" s="3">
        <v>4.2982343169000001E-5</v>
      </c>
      <c r="C8">
        <v>6.44735147534E-4</v>
      </c>
      <c r="D8" t="s">
        <v>354</v>
      </c>
      <c r="E8" t="s">
        <v>218</v>
      </c>
      <c r="F8" t="s">
        <v>355</v>
      </c>
      <c r="G8" s="4">
        <f t="shared" si="0"/>
        <v>8</v>
      </c>
      <c r="H8" t="s">
        <v>393</v>
      </c>
      <c r="I8" t="s">
        <v>394</v>
      </c>
      <c r="J8">
        <v>354</v>
      </c>
      <c r="K8">
        <v>353</v>
      </c>
    </row>
    <row r="9" spans="1:11" x14ac:dyDescent="0.25">
      <c r="A9" s="2" t="s">
        <v>79</v>
      </c>
      <c r="B9" s="3">
        <v>5.0807154791099999E-5</v>
      </c>
      <c r="C9">
        <v>6.6684390663400005E-4</v>
      </c>
      <c r="D9" t="s">
        <v>395</v>
      </c>
      <c r="E9" t="s">
        <v>218</v>
      </c>
      <c r="F9" t="s">
        <v>396</v>
      </c>
      <c r="G9" s="4">
        <f t="shared" si="0"/>
        <v>5</v>
      </c>
      <c r="H9" t="s">
        <v>397</v>
      </c>
      <c r="I9" t="s">
        <v>398</v>
      </c>
      <c r="J9">
        <v>109</v>
      </c>
      <c r="K9">
        <v>109</v>
      </c>
    </row>
    <row r="10" spans="1:11" x14ac:dyDescent="0.25">
      <c r="A10" s="2" t="s">
        <v>80</v>
      </c>
      <c r="B10">
        <v>1.0658394861999999E-4</v>
      </c>
      <c r="C10">
        <v>1.2434794005599999E-3</v>
      </c>
      <c r="D10" t="s">
        <v>356</v>
      </c>
      <c r="E10" t="s">
        <v>218</v>
      </c>
      <c r="F10" t="s">
        <v>357</v>
      </c>
      <c r="G10" s="4">
        <f t="shared" si="0"/>
        <v>6</v>
      </c>
      <c r="H10" t="s">
        <v>399</v>
      </c>
      <c r="I10" t="s">
        <v>400</v>
      </c>
      <c r="J10">
        <v>205</v>
      </c>
      <c r="K10">
        <v>205</v>
      </c>
    </row>
    <row r="11" spans="1:11" x14ac:dyDescent="0.25">
      <c r="A11" s="2" t="s">
        <v>81</v>
      </c>
      <c r="B11">
        <v>1.60818563987E-4</v>
      </c>
      <c r="C11">
        <v>1.6885949218600001E-3</v>
      </c>
      <c r="D11" t="s">
        <v>260</v>
      </c>
      <c r="E11" t="s">
        <v>218</v>
      </c>
      <c r="F11" t="s">
        <v>261</v>
      </c>
      <c r="G11" s="4">
        <f t="shared" si="0"/>
        <v>5</v>
      </c>
      <c r="H11" t="s">
        <v>401</v>
      </c>
      <c r="I11" t="s">
        <v>402</v>
      </c>
      <c r="J11">
        <v>139</v>
      </c>
      <c r="K11">
        <v>139</v>
      </c>
    </row>
    <row r="12" spans="1:11" x14ac:dyDescent="0.25">
      <c r="A12" s="2" t="s">
        <v>82</v>
      </c>
    </row>
    <row r="13" spans="1:11" x14ac:dyDescent="0.25">
      <c r="A13" s="2" t="s">
        <v>83</v>
      </c>
    </row>
    <row r="14" spans="1:11" x14ac:dyDescent="0.25">
      <c r="A14" s="2" t="s">
        <v>84</v>
      </c>
    </row>
    <row r="15" spans="1:11" x14ac:dyDescent="0.25">
      <c r="A15" s="2" t="s">
        <v>85</v>
      </c>
    </row>
    <row r="16" spans="1:11" x14ac:dyDescent="0.25">
      <c r="A16" s="2" t="s">
        <v>86</v>
      </c>
    </row>
    <row r="17" spans="1:1" x14ac:dyDescent="0.25">
      <c r="A17" s="2" t="s">
        <v>87</v>
      </c>
    </row>
    <row r="18" spans="1:1" x14ac:dyDescent="0.25">
      <c r="A18" s="2" t="s">
        <v>88</v>
      </c>
    </row>
    <row r="19" spans="1:1" x14ac:dyDescent="0.25">
      <c r="A19" s="2" t="s">
        <v>89</v>
      </c>
    </row>
    <row r="20" spans="1:1" x14ac:dyDescent="0.25">
      <c r="A20" s="2" t="s">
        <v>90</v>
      </c>
    </row>
    <row r="21" spans="1:1" x14ac:dyDescent="0.25">
      <c r="A21" s="2" t="s">
        <v>91</v>
      </c>
    </row>
    <row r="22" spans="1:1" x14ac:dyDescent="0.25">
      <c r="A22" s="2" t="s">
        <v>92</v>
      </c>
    </row>
    <row r="23" spans="1:1" x14ac:dyDescent="0.25">
      <c r="A23" s="2" t="s">
        <v>93</v>
      </c>
    </row>
    <row r="24" spans="1:1" x14ac:dyDescent="0.25">
      <c r="A24" s="2" t="s">
        <v>94</v>
      </c>
    </row>
    <row r="25" spans="1:1" x14ac:dyDescent="0.25">
      <c r="A25" s="2" t="s">
        <v>95</v>
      </c>
    </row>
    <row r="26" spans="1:1" x14ac:dyDescent="0.25">
      <c r="A26" s="2" t="s">
        <v>96</v>
      </c>
    </row>
    <row r="27" spans="1:1" x14ac:dyDescent="0.25">
      <c r="A27" s="2" t="s">
        <v>97</v>
      </c>
    </row>
    <row r="28" spans="1:1" x14ac:dyDescent="0.25">
      <c r="A28" s="2" t="s">
        <v>98</v>
      </c>
    </row>
    <row r="29" spans="1:1" x14ac:dyDescent="0.25">
      <c r="A29" s="2" t="s">
        <v>99</v>
      </c>
    </row>
    <row r="30" spans="1:1" x14ac:dyDescent="0.25">
      <c r="A30" s="2" t="s">
        <v>100</v>
      </c>
    </row>
    <row r="31" spans="1:1" x14ac:dyDescent="0.25">
      <c r="A31" s="2" t="s">
        <v>101</v>
      </c>
    </row>
    <row r="32" spans="1:1" x14ac:dyDescent="0.25">
      <c r="A32" s="2" t="s">
        <v>102</v>
      </c>
    </row>
    <row r="33" spans="1:1" x14ac:dyDescent="0.25">
      <c r="A33" s="2" t="s">
        <v>103</v>
      </c>
    </row>
    <row r="34" spans="1:1" x14ac:dyDescent="0.25">
      <c r="A34" s="2" t="s">
        <v>104</v>
      </c>
    </row>
    <row r="35" spans="1:1" x14ac:dyDescent="0.25">
      <c r="A35" s="2" t="s">
        <v>105</v>
      </c>
    </row>
    <row r="36" spans="1:1" x14ac:dyDescent="0.25">
      <c r="A36" s="2" t="s">
        <v>106</v>
      </c>
    </row>
    <row r="37" spans="1:1" x14ac:dyDescent="0.25">
      <c r="A37" s="2" t="s">
        <v>107</v>
      </c>
    </row>
    <row r="38" spans="1:1" x14ac:dyDescent="0.25">
      <c r="A38" s="2" t="s">
        <v>108</v>
      </c>
    </row>
    <row r="39" spans="1:1" x14ac:dyDescent="0.25">
      <c r="A39" s="2" t="s">
        <v>109</v>
      </c>
    </row>
    <row r="40" spans="1:1" x14ac:dyDescent="0.25">
      <c r="A40" s="2" t="s">
        <v>110</v>
      </c>
    </row>
    <row r="41" spans="1:1" x14ac:dyDescent="0.25">
      <c r="A41" s="2" t="s">
        <v>111</v>
      </c>
    </row>
    <row r="42" spans="1:1" x14ac:dyDescent="0.25">
      <c r="A42" s="2" t="s">
        <v>112</v>
      </c>
    </row>
    <row r="43" spans="1:1" x14ac:dyDescent="0.25">
      <c r="A43" s="2" t="s">
        <v>113</v>
      </c>
    </row>
    <row r="44" spans="1:1" x14ac:dyDescent="0.25">
      <c r="A44" s="2" t="s">
        <v>114</v>
      </c>
    </row>
    <row r="45" spans="1:1" x14ac:dyDescent="0.25">
      <c r="A45" s="2" t="s">
        <v>115</v>
      </c>
    </row>
    <row r="46" spans="1:1" x14ac:dyDescent="0.25">
      <c r="A46" s="2" t="s">
        <v>116</v>
      </c>
    </row>
    <row r="47" spans="1:1" x14ac:dyDescent="0.25">
      <c r="A47" s="2" t="s">
        <v>117</v>
      </c>
    </row>
    <row r="48" spans="1:1" x14ac:dyDescent="0.25">
      <c r="A48" s="2" t="s">
        <v>118</v>
      </c>
    </row>
    <row r="49" spans="1:1" x14ac:dyDescent="0.25">
      <c r="A49" s="2" t="s">
        <v>119</v>
      </c>
    </row>
    <row r="50" spans="1:1" x14ac:dyDescent="0.25">
      <c r="A50" s="2" t="s">
        <v>120</v>
      </c>
    </row>
    <row r="51" spans="1:1" x14ac:dyDescent="0.25">
      <c r="A51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gene_lists_used</vt:lpstr>
      <vt:lpstr>PBS.VS.FT240.RCT.UP</vt:lpstr>
      <vt:lpstr>PBS.VS.FT240.KEGG.UP</vt:lpstr>
      <vt:lpstr>PBS.VS.FT240.RCT.DOWN</vt:lpstr>
      <vt:lpstr>PBS.VS.FT240.KEGG.DOWN</vt:lpstr>
      <vt:lpstr>PBS.VS.OVCAR3.RCT.UP</vt:lpstr>
      <vt:lpstr>PBS.VS.OVCAR3.KEGG.UP</vt:lpstr>
      <vt:lpstr>PBS.VS.OVCAR3.RCT.DOWN</vt:lpstr>
      <vt:lpstr>PBS.VS.OVCAR3.KEGG.DOWN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2025-07-03T20:12:38Z</dcterms:created>
  <dcterms:modified xsi:type="dcterms:W3CDTF">2025-07-03T21:47:06Z</dcterms:modified>
</cp:coreProperties>
</file>