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789s948\Dropbox\EV Treatment Manuscript\Kegg and GO Analysis Results\Reactome and Kegg Analyses from Mihaela\Files for plotting\"/>
    </mc:Choice>
  </mc:AlternateContent>
  <xr:revisionPtr revIDLastSave="0" documentId="8_{F10C41B3-3A64-4316-B642-CD1758A808C4}" xr6:coauthVersionLast="47" xr6:coauthVersionMax="47" xr10:uidLastSave="{00000000-0000-0000-0000-000000000000}"/>
  <bookViews>
    <workbookView xWindow="-28920" yWindow="-120" windowWidth="29040" windowHeight="15840" firstSheet="4" activeTab="8" xr2:uid="{A0D87A8F-A26B-4C12-B651-616BD10164C8}"/>
  </bookViews>
  <sheets>
    <sheet name="PBS.v.FT240.KEGG-UP" sheetId="1" r:id="rId1"/>
    <sheet name="PBS.v.FT240.KEGG-DOWN" sheetId="2" r:id="rId2"/>
    <sheet name="PBS.v.FT240.RCT-UP" sheetId="3" r:id="rId3"/>
    <sheet name="PBS.v.FT240.RCT-DOWN" sheetId="4" r:id="rId4"/>
    <sheet name="FT240.v.OVCAR3.KEGG-UP" sheetId="5" r:id="rId5"/>
    <sheet name="FT240.v.OVCAR3.KEGG-DOWN" sheetId="6" r:id="rId6"/>
    <sheet name="FT240.v.OVCAR3.RCT-DOWN" sheetId="7" r:id="rId7"/>
    <sheet name="PBS.v.OVCAR3.RCT-DOWN" sheetId="8" r:id="rId8"/>
    <sheet name="PBS.v.OVCAR3.KEGG-DOW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9" l="1"/>
  <c r="L10" i="9"/>
  <c r="L9" i="9"/>
  <c r="L8" i="9"/>
  <c r="L7" i="9"/>
  <c r="L6" i="9"/>
  <c r="L5" i="9"/>
  <c r="L4" i="9"/>
  <c r="L3" i="9"/>
  <c r="L2" i="9"/>
  <c r="L11" i="8"/>
  <c r="L10" i="8"/>
  <c r="L9" i="8"/>
  <c r="L8" i="8"/>
  <c r="L7" i="8"/>
  <c r="L6" i="8"/>
  <c r="L5" i="8"/>
  <c r="L4" i="8"/>
  <c r="L3" i="8"/>
  <c r="L2" i="8"/>
  <c r="L11" i="7"/>
  <c r="L10" i="7"/>
  <c r="L9" i="7"/>
  <c r="L8" i="7"/>
  <c r="L7" i="7"/>
  <c r="L6" i="7"/>
  <c r="L5" i="7"/>
  <c r="L4" i="7"/>
  <c r="L3" i="7"/>
  <c r="L2" i="7"/>
  <c r="L11" i="6"/>
  <c r="L10" i="6"/>
  <c r="L9" i="6"/>
  <c r="L8" i="6"/>
  <c r="L7" i="6"/>
  <c r="L6" i="6"/>
  <c r="L5" i="6"/>
  <c r="L4" i="6"/>
  <c r="L3" i="6"/>
  <c r="L2" i="6"/>
  <c r="L11" i="5"/>
  <c r="L10" i="5"/>
  <c r="L9" i="5"/>
  <c r="L8" i="5"/>
  <c r="L7" i="5"/>
  <c r="L6" i="5"/>
  <c r="L5" i="5"/>
  <c r="L4" i="5"/>
  <c r="L3" i="5"/>
  <c r="L2" i="5"/>
  <c r="L11" i="4"/>
  <c r="L10" i="4"/>
  <c r="L9" i="4"/>
  <c r="L8" i="4"/>
  <c r="L7" i="4"/>
  <c r="L6" i="4"/>
  <c r="L5" i="4"/>
  <c r="L4" i="4"/>
  <c r="L3" i="4"/>
  <c r="L2" i="4"/>
  <c r="L11" i="3"/>
  <c r="L10" i="3"/>
  <c r="L9" i="3"/>
  <c r="L8" i="3"/>
  <c r="L7" i="3"/>
  <c r="L6" i="3"/>
  <c r="L5" i="3"/>
  <c r="L4" i="3"/>
  <c r="L3" i="3"/>
  <c r="L2" i="3"/>
  <c r="L11" i="2"/>
  <c r="L10" i="2"/>
  <c r="L9" i="2"/>
  <c r="L8" i="2"/>
  <c r="L7" i="2"/>
  <c r="L6" i="2"/>
  <c r="L5" i="2"/>
  <c r="L4" i="2"/>
  <c r="L3" i="2"/>
  <c r="L2" i="2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<sst xmlns="http://schemas.openxmlformats.org/spreadsheetml/2006/main" count="548" uniqueCount="358">
  <si>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</si>
  <si>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</si>
  <si>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</si>
  <si>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</si>
  <si>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</si>
  <si>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</si>
  <si>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</si>
  <si>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</si>
  <si>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</si>
  <si>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overlapId</t>
  </si>
  <si>
    <t>userId</t>
  </si>
  <si>
    <t>significance</t>
  </si>
  <si>
    <t>hsa00030</t>
  </si>
  <si>
    <t>Pentose phosphate pathway</t>
  </si>
  <si>
    <t>http://www.kegg.jp/kegg-bin/show_pathway?hsa00030+226+2821</t>
  </si>
  <si>
    <t>226;2821</t>
  </si>
  <si>
    <t>GPI;ALDOA</t>
  </si>
  <si>
    <t>hsa00010</t>
  </si>
  <si>
    <t>Glycolysis / Gluconeogenesis</t>
  </si>
  <si>
    <t>http://www.kegg.jp/kegg-bin/show_pathway?hsa00010+226+2821</t>
  </si>
  <si>
    <t>hsa01200</t>
  </si>
  <si>
    <t>Carbon metabolism</t>
  </si>
  <si>
    <t>http://www.kegg.jp/kegg-bin/show_pathway?hsa01200+226+2821</t>
  </si>
  <si>
    <t>hsa05205</t>
  </si>
  <si>
    <t>Proteoglycans in cancer</t>
  </si>
  <si>
    <t>http://www.kegg.jp/kegg-bin/show_pathway?hsa05205+60+967</t>
  </si>
  <si>
    <t>60;967</t>
  </si>
  <si>
    <t>ACTB;CD63</t>
  </si>
  <si>
    <t>hsa00051</t>
  </si>
  <si>
    <t>Fructose and mannose metabolism</t>
  </si>
  <si>
    <t>http://www.kegg.jp/kegg-bin/show_pathway?hsa00051+226</t>
  </si>
  <si>
    <t>ALDOA</t>
  </si>
  <si>
    <t>hsa00500</t>
  </si>
  <si>
    <t>Starch and sucrose metabolism</t>
  </si>
  <si>
    <t>http://www.kegg.jp/kegg-bin/show_pathway?hsa00500+2821</t>
  </si>
  <si>
    <t>GPI</t>
  </si>
  <si>
    <t>hsa01250</t>
  </si>
  <si>
    <t>Biosynthesis of nucleotide sugars</t>
  </si>
  <si>
    <t>http://www.kegg.jp/kegg-bin/show_pathway?hsa01250+2821</t>
  </si>
  <si>
    <t>hsa00520</t>
  </si>
  <si>
    <t>Amino sugar and nucleotide sugar metabolism</t>
  </si>
  <si>
    <t>http://www.kegg.jp/kegg-bin/show_pathway?hsa00520+2821</t>
  </si>
  <si>
    <t>hsa05110</t>
  </si>
  <si>
    <t>Vibrio cholerae infection</t>
  </si>
  <si>
    <t>http://www.kegg.jp/kegg-bin/show_pathway?hsa05110+60</t>
  </si>
  <si>
    <t>ACTB</t>
  </si>
  <si>
    <t>hsa05416</t>
  </si>
  <si>
    <t>Viral myocarditis</t>
  </si>
  <si>
    <t>http://www.kegg.jp/kegg-bin/show_pathway?hsa05416+60</t>
  </si>
  <si>
    <t>hsa04668</t>
  </si>
  <si>
    <t>TNF signaling pathway</t>
  </si>
  <si>
    <t>http://www.kegg.jp/kegg-bin/show_pathway?hsa04668+1906+2353+2919+2920+2921+3383+3659+3725+6347+7124+9586</t>
  </si>
  <si>
    <t>1906;2353;2919;2920;2921;3383;3659;3725;6347;7124;9586</t>
  </si>
  <si>
    <t>EDN1;IRF1;CREB5;ICAM1;CXCL3;CXCL1;JUN;CCL2;TNF;FOS;CXCL2</t>
  </si>
  <si>
    <t>hsa05323</t>
  </si>
  <si>
    <t>Rheumatoid arthritis</t>
  </si>
  <si>
    <t>http://www.kegg.jp/kegg-bin/show_pathway?hsa05323+2353+2919+2920+2921+3383+3576+3725+6347+7124</t>
  </si>
  <si>
    <t>2353;2919;2920;2921;3383;3576;3725;6347;7124</t>
  </si>
  <si>
    <t>ICAM1;CXCL3;CXCL1;JUN;CCL2;TNF;CXCL8;FOS;CXCL2</t>
  </si>
  <si>
    <t>hsa04657</t>
  </si>
  <si>
    <t>IL-17 signaling pathway</t>
  </si>
  <si>
    <t>http://www.kegg.jp/kegg-bin/show_pathway?hsa04657+2353+2919+2920+2921+3576+3725+6347+7124</t>
  </si>
  <si>
    <t>2353;2919;2920;2921;3576;3725;6347;7124</t>
  </si>
  <si>
    <t>CXCL3;CXCL1;JUN;CCL2;TNF;CXCL8;FOS;CXCL2</t>
  </si>
  <si>
    <t>hsa05417</t>
  </si>
  <si>
    <t>Lipid and atherosclerosis</t>
  </si>
  <si>
    <t>http://www.kegg.jp/kegg-bin/show_pathway?hsa05417+2353+2919+2920+2921+3383+3576+3725+6347+7124+810</t>
  </si>
  <si>
    <t>2353;2919;2920;2921;3383;3576;3725;6347;7124;810</t>
  </si>
  <si>
    <t>CALML3;ICAM1;CXCL3;CXCL1;JUN;CCL2;TNF;CXCL8;FOS;CXCL2</t>
  </si>
  <si>
    <t>hsa04933</t>
  </si>
  <si>
    <t>AGE-RAGE signaling pathway in diabetic complications</t>
  </si>
  <si>
    <t>http://www.kegg.jp/kegg-bin/show_pathway?hsa04933+1906+1958+3383+3576+3725+6347+7124</t>
  </si>
  <si>
    <t>1906;1958;3383;3576;3725;6347;7124</t>
  </si>
  <si>
    <t>EDN1;ICAM1;JUN;CCL2;TNF;CXCL8;EGR1</t>
  </si>
  <si>
    <t>hsa04621</t>
  </si>
  <si>
    <t>NOD-like receptor signaling pathway</t>
  </si>
  <si>
    <t>http://www.kegg.jp/kegg-bin/show_pathway?hsa04621+2919+2920+2921+3576+3725+6347+7124+8767</t>
  </si>
  <si>
    <t>2919;2920;2921;3576;3725;6347;7124;8767</t>
  </si>
  <si>
    <t>RIPK2;CXCL3;CXCL1;JUN;CCL2;TNF;CXCL8;CXCL2</t>
  </si>
  <si>
    <t>hsa05133</t>
  </si>
  <si>
    <t>Pertussis</t>
  </si>
  <si>
    <t>http://www.kegg.jp/kegg-bin/show_pathway?hsa05133+2353+3576+3659+3725+7124+810</t>
  </si>
  <si>
    <t>2353;3576;3659;3725;7124;810</t>
  </si>
  <si>
    <t>CALML3;IRF1;JUN;TNF;CXCL8;FOS</t>
  </si>
  <si>
    <t>hsa05167</t>
  </si>
  <si>
    <t>Kaposi sarcoma-associated herpesvirus infection</t>
  </si>
  <si>
    <t>http://www.kegg.jp/kegg-bin/show_pathway?hsa05167+2353+2919+2920+2921+3383+3576+3725+810</t>
  </si>
  <si>
    <t>2353;2919;2920;2921;3383;3576;3725;810</t>
  </si>
  <si>
    <t>CALML3;ICAM1;CXCL3;CXCL1;JUN;CXCL8;FOS;CXCL2</t>
  </si>
  <si>
    <t>hsa05418</t>
  </si>
  <si>
    <t>Fluid shear stress and atherosclerosis</t>
  </si>
  <si>
    <t>http://www.kegg.jp/kegg-bin/show_pathway?hsa05418+1906+2353+3383+3725+6347+7124+810</t>
  </si>
  <si>
    <t>1906;2353;3383;3725;6347;7124;810</t>
  </si>
  <si>
    <t>EDN1;CALML3;ICAM1;JUN;CCL2;TNF;FOS</t>
  </si>
  <si>
    <t>hsa04061</t>
  </si>
  <si>
    <t>Viral protein interaction with cytokine and cytokine receptor</t>
  </si>
  <si>
    <t>http://www.kegg.jp/kegg-bin/show_pathway?hsa04061+2919+2920+2921+3576+6347+7124</t>
  </si>
  <si>
    <t>2919;2920;2921;3576;6347;7124</t>
  </si>
  <si>
    <t>CXCL3;CXCL1;CCL2;TNF;CXCL8;CXCL2</t>
  </si>
  <si>
    <t>R-HSA-168249</t>
  </si>
  <si>
    <t>Innate Immune System</t>
  </si>
  <si>
    <t>http://reactome.org/PathwayBrowser/#/R-HSA-168249</t>
  </si>
  <si>
    <t>226;2821;3428;3934;60;961;967</t>
  </si>
  <si>
    <t>LCN2;GPI;ALDOA;IFI16;CD47;ACTB;CD63</t>
  </si>
  <si>
    <t>R-HSA-6798695</t>
  </si>
  <si>
    <t>Neutrophil degranulation</t>
  </si>
  <si>
    <t>http://reactome.org/PathwayBrowser/#/R-HSA-6798695</t>
  </si>
  <si>
    <t>226;2821;3934;961;967</t>
  </si>
  <si>
    <t>LCN2;GPI;ALDOA;CD47;CD63</t>
  </si>
  <si>
    <t>R-HSA-70263</t>
  </si>
  <si>
    <t>Gluconeogenesis</t>
  </si>
  <si>
    <t>http://reactome.org/PathwayBrowser/#/R-HSA-70263</t>
  </si>
  <si>
    <t>R-HSA-70171</t>
  </si>
  <si>
    <t>Glycolysis</t>
  </si>
  <si>
    <t>http://reactome.org/PathwayBrowser/#/R-HSA-70171</t>
  </si>
  <si>
    <t>R-HSA-109582</t>
  </si>
  <si>
    <t>Hemostasis</t>
  </si>
  <si>
    <t>http://reactome.org/PathwayBrowser/#/R-HSA-109582</t>
  </si>
  <si>
    <t>226;60;961;967</t>
  </si>
  <si>
    <t>ALDOA;CD47;ACTB;CD63</t>
  </si>
  <si>
    <t>R-HSA-70326</t>
  </si>
  <si>
    <t>Glucose metabolism</t>
  </si>
  <si>
    <t>http://reactome.org/PathwayBrowser/#/R-HSA-70326</t>
  </si>
  <si>
    <t>R-HSA-6799990</t>
  </si>
  <si>
    <t>Metal sequestration by antimicrobial proteins</t>
  </si>
  <si>
    <t>http://reactome.org/PathwayBrowser/#/R-HSA-6799990</t>
  </si>
  <si>
    <t>LCN2</t>
  </si>
  <si>
    <t>R-HSA-114608</t>
  </si>
  <si>
    <t>Platelet degranulation</t>
  </si>
  <si>
    <t>http://reactome.org/PathwayBrowser/#/R-HSA-114608</t>
  </si>
  <si>
    <t>226;967</t>
  </si>
  <si>
    <t>ALDOA;CD63</t>
  </si>
  <si>
    <t>R-HSA-76005</t>
  </si>
  <si>
    <t>Response to elevated platelet cytosolic Ca2+</t>
  </si>
  <si>
    <t>http://reactome.org/PathwayBrowser/#/R-HSA-76005</t>
  </si>
  <si>
    <t>R-HSA-1500931</t>
  </si>
  <si>
    <t>Cell-Cell communication</t>
  </si>
  <si>
    <t>http://reactome.org/PathwayBrowser/#/R-HSA-1500931</t>
  </si>
  <si>
    <t>60;961</t>
  </si>
  <si>
    <t>CD47;ACTB</t>
  </si>
  <si>
    <t>R-HSA-6783783</t>
  </si>
  <si>
    <t>Interleukin-10 signaling</t>
  </si>
  <si>
    <t>http://reactome.org/PathwayBrowser/#/R-HSA-6783783</t>
  </si>
  <si>
    <t>2919;2920;3383;3576;6347;7124</t>
  </si>
  <si>
    <t>ICAM1;CXCL1;CCL2;TNF;CXCL8;CXCL2</t>
  </si>
  <si>
    <t>R-HSA-449147</t>
  </si>
  <si>
    <t>Signaling by Interleukins</t>
  </si>
  <si>
    <t>http://reactome.org/PathwayBrowser/#/R-HSA-449147</t>
  </si>
  <si>
    <t>1441;2353;2919;2920;3383;3576;3725;50615;6347;7124;8767</t>
  </si>
  <si>
    <t>IL21R;RIPK2;CSF3R;ICAM1;CXCL1;JUN;CCL2;TNF;CXCL8;FOS;CXCL2</t>
  </si>
  <si>
    <t>R-HSA-1280215</t>
  </si>
  <si>
    <t>Cytokine Signaling in Immune system</t>
  </si>
  <si>
    <t>http://reactome.org/PathwayBrowser/#/R-HSA-1280215</t>
  </si>
  <si>
    <t>1441;1958;2353;2919;2920;3383;3576;3659;3725;50615;6347;7124;8767</t>
  </si>
  <si>
    <t>IL21R;RIPK2;CSF3R;IRF1;ICAM1;CXCL1;JUN;CCL2;TNF;CXCL8;FOS;CXCL2;EGR1</t>
  </si>
  <si>
    <t>R-HSA-380108</t>
  </si>
  <si>
    <t>Chemokine receptors bind chemokines</t>
  </si>
  <si>
    <t>http://reactome.org/PathwayBrowser/#/R-HSA-380108</t>
  </si>
  <si>
    <t>2919;2920;2921;3576;6347</t>
  </si>
  <si>
    <t>CXCL3;CXCL1;CCL2;CXCL8;CXCL2</t>
  </si>
  <si>
    <t>R-HSA-6785807</t>
  </si>
  <si>
    <t>Interleukin-4 and Interleukin-13 signaling</t>
  </si>
  <si>
    <t>http://reactome.org/PathwayBrowser/#/R-HSA-6785807</t>
  </si>
  <si>
    <t>2353;3383;3576;6347;7124</t>
  </si>
  <si>
    <t>ICAM1;CCL2;TNF;CXCL8;FOS</t>
  </si>
  <si>
    <t>R-HSA-375276</t>
  </si>
  <si>
    <t>Peptide ligand-binding receptors</t>
  </si>
  <si>
    <t>http://reactome.org/PathwayBrowser/#/R-HSA-375276</t>
  </si>
  <si>
    <t>1906;2919;2920;2921;3576;6347</t>
  </si>
  <si>
    <t>EDN1;CXCL3;CXCL1;CCL2;CXCL8;CXCL2</t>
  </si>
  <si>
    <t>R-HSA-9031628</t>
  </si>
  <si>
    <t>NGF-stimulated transcription</t>
  </si>
  <si>
    <t>http://reactome.org/PathwayBrowser/#/R-HSA-9031628</t>
  </si>
  <si>
    <t>1958;1959;2353</t>
  </si>
  <si>
    <t>EGR2;FOS;EGR1</t>
  </si>
  <si>
    <t>R-HSA-500792</t>
  </si>
  <si>
    <t>GPCR ligand binding</t>
  </si>
  <si>
    <t>http://reactome.org/PathwayBrowser/#/R-HSA-500792</t>
  </si>
  <si>
    <t>1906;2919;2920;2921;3576;6347;80326</t>
  </si>
  <si>
    <t>EDN1;WNT10A;CXCL3;CXCL1;CCL2;CXCL8;CXCL2</t>
  </si>
  <si>
    <t>R-HSA-373076</t>
  </si>
  <si>
    <t>Class A/1 (Rhodopsin-like receptors)</t>
  </si>
  <si>
    <t>http://reactome.org/PathwayBrowser/#/R-HSA-373076</t>
  </si>
  <si>
    <t>R-HSA-450341</t>
  </si>
  <si>
    <t>Activation of the AP-1 family of transcription factors</t>
  </si>
  <si>
    <t>http://reactome.org/PathwayBrowser/#/R-HSA-450341</t>
  </si>
  <si>
    <t>2353;3725</t>
  </si>
  <si>
    <t>JUN;FOS</t>
  </si>
  <si>
    <t>hsa05217</t>
  </si>
  <si>
    <t>Basal cell carcinoma</t>
  </si>
  <si>
    <t>http://www.kegg.jp/kegg-bin/show_pathway?hsa05217+10912+4616+80326</t>
  </si>
  <si>
    <t>10912;4616;80326</t>
  </si>
  <si>
    <t>GADD45B;GADD45G;WNT10A</t>
  </si>
  <si>
    <t>hsa04010</t>
  </si>
  <si>
    <t>MAPK signaling pathway</t>
  </si>
  <si>
    <t>http://www.kegg.jp/kegg-bin/show_pathway?hsa04010+10912+1969+2318+4616</t>
  </si>
  <si>
    <t>10912;1969;2318;4616</t>
  </si>
  <si>
    <t>FLNC;GADD45B;EPHA2;GADD45G</t>
  </si>
  <si>
    <t>hsa05224</t>
  </si>
  <si>
    <t>Breast cancer</t>
  </si>
  <si>
    <t>http://www.kegg.jp/kegg-bin/show_pathway?hsa05224+10912+4616+80326</t>
  </si>
  <si>
    <t>hsa05226</t>
  </si>
  <si>
    <t>Gastric cancer</t>
  </si>
  <si>
    <t>http://www.kegg.jp/kegg-bin/show_pathway?hsa05226+10912+4616+80326</t>
  </si>
  <si>
    <t>hsa04390</t>
  </si>
  <si>
    <t>Hippo signaling pathway</t>
  </si>
  <si>
    <t>http://www.kegg.jp/kegg-bin/show_pathway?hsa04390+268+3398+80326</t>
  </si>
  <si>
    <t>268;3398;80326</t>
  </si>
  <si>
    <t>ID2;AMH;WNT10A</t>
  </si>
  <si>
    <t>hsa05225</t>
  </si>
  <si>
    <t>Hepatocellular carcinoma</t>
  </si>
  <si>
    <t>http://www.kegg.jp/kegg-bin/show_pathway?hsa05225+10912+4616+80326</t>
  </si>
  <si>
    <t>hsa05216</t>
  </si>
  <si>
    <t>Thyroid cancer</t>
  </si>
  <si>
    <t>http://www.kegg.jp/kegg-bin/show_pathway?hsa05216+10912+4616</t>
  </si>
  <si>
    <t>10912;4616</t>
  </si>
  <si>
    <t>GADD45B;GADD45G</t>
  </si>
  <si>
    <t>hsa05202</t>
  </si>
  <si>
    <t>Transcriptional misregulation in cancer</t>
  </si>
  <si>
    <t>http://www.kegg.jp/kegg-bin/show_pathway?hsa05202+10912+3398+4616</t>
  </si>
  <si>
    <t>10912;3398;4616</t>
  </si>
  <si>
    <t>GADD45B;GADD45G;ID2</t>
  </si>
  <si>
    <t>hsa05213</t>
  </si>
  <si>
    <t>Endometrial cancer</t>
  </si>
  <si>
    <t>http://www.kegg.jp/kegg-bin/show_pathway?hsa05213+10912+4616</t>
  </si>
  <si>
    <t>hsa05218</t>
  </si>
  <si>
    <t>Melanoma</t>
  </si>
  <si>
    <t>http://www.kegg.jp/kegg-bin/show_pathway?hsa05218+10912+4616</t>
  </si>
  <si>
    <t>http://www.kegg.jp/kegg-bin/show_pathway?hsa04933+6347+6772+7412</t>
  </si>
  <si>
    <t>6347;6772;7412</t>
  </si>
  <si>
    <t>STAT1;VCAM1;CCL2</t>
  </si>
  <si>
    <t>hsa05164</t>
  </si>
  <si>
    <t>Influenza A</t>
  </si>
  <si>
    <t>http://www.kegg.jp/kegg-bin/show_pathway?hsa05164+6347+6772+91543</t>
  </si>
  <si>
    <t>6347;6772;91543</t>
  </si>
  <si>
    <t>STAT1;RSAD2;CCL2</t>
  </si>
  <si>
    <t>http://www.kegg.jp/kegg-bin/show_pathway?hsa04621+3428+6347+6772</t>
  </si>
  <si>
    <t>3428;6347;6772</t>
  </si>
  <si>
    <t>STAT1;IFI16;CCL2</t>
  </si>
  <si>
    <t>hsa05144</t>
  </si>
  <si>
    <t>Malaria</t>
  </si>
  <si>
    <t>http://www.kegg.jp/kegg-bin/show_pathway?hsa05144+6347+7412</t>
  </si>
  <si>
    <t>6347;7412</t>
  </si>
  <si>
    <t>VCAM1;CCL2</t>
  </si>
  <si>
    <t>http://www.kegg.jp/kegg-bin/show_pathway?hsa05417+6347+6648+7412</t>
  </si>
  <si>
    <t>6347;6648;7412</t>
  </si>
  <si>
    <t>VCAM1;SOD2;CCL2</t>
  </si>
  <si>
    <t>hsa05171</t>
  </si>
  <si>
    <t>Coronavirus disease</t>
  </si>
  <si>
    <t>http://www.kegg.jp/kegg-bin/show_pathway?hsa05171+629+6347+6772</t>
  </si>
  <si>
    <t>629;6347;6772</t>
  </si>
  <si>
    <t>STAT1;CFB;CCL2</t>
  </si>
  <si>
    <t>http://www.kegg.jp/kegg-bin/show_pathway?hsa04657+3934+6347</t>
  </si>
  <si>
    <t>3934;6347</t>
  </si>
  <si>
    <t>CCL2;LCN2</t>
  </si>
  <si>
    <t>http://www.kegg.jp/kegg-bin/show_pathway?hsa04668+6347+7412</t>
  </si>
  <si>
    <t>hsa04935</t>
  </si>
  <si>
    <t>Growth hormone synthesis, secretion and action</t>
  </si>
  <si>
    <t>http://www.kegg.jp/kegg-bin/show_pathway?hsa04935+3486+6772</t>
  </si>
  <si>
    <t>3486;6772</t>
  </si>
  <si>
    <t>STAT1;IGFBP3</t>
  </si>
  <si>
    <t>http://www.kegg.jp/kegg-bin/show_pathway?hsa05418+6347+7412</t>
  </si>
  <si>
    <t>3934;6288;6347;6772;7412</t>
  </si>
  <si>
    <t>STAT1;VCAM1;SAA1;CCL2;LCN2</t>
  </si>
  <si>
    <t>3437;3934;6288;6347;6648;6772;7412;91543</t>
  </si>
  <si>
    <t>STAT1;RSAD2;VCAM1;SOD2;IFIT3;SAA1;CCL2;LCN2</t>
  </si>
  <si>
    <t>3934;6288;6347;6648;6772;7412</t>
  </si>
  <si>
    <t>STAT1;VCAM1;SOD2;SAA1;CCL2;LCN2</t>
  </si>
  <si>
    <t>R-HSA-909733</t>
  </si>
  <si>
    <t>Interferon alpha/beta signaling</t>
  </si>
  <si>
    <t>http://reactome.org/PathwayBrowser/#/R-HSA-909733</t>
  </si>
  <si>
    <t>3437;6772;91543</t>
  </si>
  <si>
    <t>STAT1;RSAD2;IFIT3</t>
  </si>
  <si>
    <t>R-HSA-913531</t>
  </si>
  <si>
    <t>Interferon Signaling</t>
  </si>
  <si>
    <t>http://reactome.org/PathwayBrowser/#/R-HSA-913531</t>
  </si>
  <si>
    <t>3437;6772;7412;91543</t>
  </si>
  <si>
    <t>STAT1;RSAD2;VCAM1;IFIT3</t>
  </si>
  <si>
    <t>R-HSA-447115</t>
  </si>
  <si>
    <t>Interleukin-12 family signaling</t>
  </si>
  <si>
    <t>http://reactome.org/PathwayBrowser/#/R-HSA-447115</t>
  </si>
  <si>
    <t>6648;6772</t>
  </si>
  <si>
    <t>STAT1;SOD2</t>
  </si>
  <si>
    <t>R-HSA-877300</t>
  </si>
  <si>
    <t>Interferon gamma signaling</t>
  </si>
  <si>
    <t>http://reactome.org/PathwayBrowser/#/R-HSA-877300</t>
  </si>
  <si>
    <t>6772;7412</t>
  </si>
  <si>
    <t>STAT1;VCAM1</t>
  </si>
  <si>
    <t>R-HSA-9818026</t>
  </si>
  <si>
    <t>NFE2L2 regulating inflammation associated genes</t>
  </si>
  <si>
    <t>http://reactome.org/PathwayBrowser/#/R-HSA-9818026</t>
  </si>
  <si>
    <t>CCL2</t>
  </si>
  <si>
    <t>R-HSA-173736</t>
  </si>
  <si>
    <t>Alternative complement activation</t>
  </si>
  <si>
    <t>http://reactome.org/PathwayBrowser/#/R-HSA-173736</t>
  </si>
  <si>
    <t>CFB</t>
  </si>
  <si>
    <t>R-HSA-3000471</t>
  </si>
  <si>
    <t>Scavenging by Class B Receptors</t>
  </si>
  <si>
    <t>http://reactome.org/PathwayBrowser/#/R-HSA-3000471</t>
  </si>
  <si>
    <t>SAA1</t>
  </si>
  <si>
    <t>2919;2920;2921;3576;3627;6347;6364;6373</t>
  </si>
  <si>
    <t>CCL20;CXCL1;CXCL3;CXCL11;CXCL2;CXCL8;CCL2;CXCL10</t>
  </si>
  <si>
    <t>2919;2920;3383;3576;3627;4790;4791;6288;6347;6364;7412;8767;9235</t>
  </si>
  <si>
    <t>NFKB1;CCL20;NFKB2;CXCL1;VCAM1;RIPK2;IL32;ICAM1;SAA1;CXCL2;CXCL8;CCL2;CXCL10</t>
  </si>
  <si>
    <t>2919;2920;3383;3576;3627;6347;6364</t>
  </si>
  <si>
    <t>CCL20;CXCL1;ICAM1;CXCL2;CXCL8;CCL2;CXCL10</t>
  </si>
  <si>
    <t>2919;2920;3383;3576;3627;3659;4790;4791;6288;6347;6364;7412;8767;9235</t>
  </si>
  <si>
    <t>NFKB1;CCL20;NFKB2;CXCL1;VCAM1;RIPK2;IRF1;IL32;ICAM1;SAA1;CXCL2;CXCL8;CCL2;CXCL10</t>
  </si>
  <si>
    <t>2919;2920;2921;3576;3627;6288;6347;6364;6373</t>
  </si>
  <si>
    <t>CCL20;CXCL1;CXCL3;SAA1;CXCL11;CXCL2;CXCL8;CCL2;CXCL10</t>
  </si>
  <si>
    <t>R-HSA-418594</t>
  </si>
  <si>
    <t>G alpha (i) signalling events</t>
  </si>
  <si>
    <t>http://reactome.org/PathwayBrowser/#/R-HSA-418594</t>
  </si>
  <si>
    <t>2919;2920;2921;3576;3627;6288;6364;6373</t>
  </si>
  <si>
    <t>CCL20;CXCL1;CXCL3;SAA1;CXCL11;CXCL2;CXCL8;CXCL10</t>
  </si>
  <si>
    <t>R-HSA-445989</t>
  </si>
  <si>
    <t>TAK1-dependent IKK and NF-kappa-B activation</t>
  </si>
  <si>
    <t>http://reactome.org/PathwayBrowser/#/R-HSA-445989</t>
  </si>
  <si>
    <t>4790;4791;6288;8767</t>
  </si>
  <si>
    <t>NFKB1;NFKB2;RIPK2;SAA1</t>
  </si>
  <si>
    <t>3383;3576;6288;6347;7412</t>
  </si>
  <si>
    <t>VCAM1;ICAM1;SAA1;CXCL8;CCL2</t>
  </si>
  <si>
    <t>http://www.kegg.jp/kegg-bin/show_pathway?hsa04668+2919+2920+2921+3383+3627+3659+4790+6347+6364+7128+7412+9586</t>
  </si>
  <si>
    <t>2919;2920;2921;3383;3627;3659;4790;6347;6364;7128;7412;9586</t>
  </si>
  <si>
    <t>CREB5;NFKB1;CCL20;CXCL1;VCAM1;CXCL3;IRF1;TNFAIP3;ICAM1;CXCL2;CCL2;CXCL10</t>
  </si>
  <si>
    <t>http://www.kegg.jp/kegg-bin/show_pathway?hsa04657+2919+2920+2921+3576+3627+4790+6347+6364+7128</t>
  </si>
  <si>
    <t>2919;2920;2921;3576;3627;4790;6347;6364;7128</t>
  </si>
  <si>
    <t>NFKB1;CCL20;CXCL1;CXCL3;TNFAIP3;CXCL2;CXCL8;CCL2;CXCL10</t>
  </si>
  <si>
    <t>hsa04064</t>
  </si>
  <si>
    <t>NF-kappa B signaling pathway</t>
  </si>
  <si>
    <t>http://www.kegg.jp/kegg-bin/show_pathway?hsa04064+2919+2920+2921+3383+3576+4790+4791+7128+7412</t>
  </si>
  <si>
    <t>2919;2920;2921;3383;3576;4790;4791;7128;7412</t>
  </si>
  <si>
    <t>NFKB1;NFKB2;CXCL1;VCAM1;CXCL3;TNFAIP3;ICAM1;CXCL2;CXCL8</t>
  </si>
  <si>
    <t>http://www.kegg.jp/kegg-bin/show_pathway?hsa04061+2919+2920+2921+3576+3627+6347+6364+6373</t>
  </si>
  <si>
    <t>hsa04062</t>
  </si>
  <si>
    <t>Chemokine signaling pathway</t>
  </si>
  <si>
    <t>http://www.kegg.jp/kegg-bin/show_pathway?hsa04062+2919+2920+2921+3576+3627+4790+6347+6364+6373</t>
  </si>
  <si>
    <t>2919;2920;2921;3576;3627;4790;6347;6364;6373</t>
  </si>
  <si>
    <t>NFKB1;CCL20;CXCL1;CXCL3;CXCL11;CXCL2;CXCL8;CCL2;CXCL10</t>
  </si>
  <si>
    <t>http://www.kegg.jp/kegg-bin/show_pathway?hsa05323+2919+2920+2921+3383+3576+6347+6364</t>
  </si>
  <si>
    <t>2919;2920;2921;3383;3576;6347;6364</t>
  </si>
  <si>
    <t>CCL20;CXCL1;CXCL3;ICAM1;CXCL2;CXCL8;CCL2</t>
  </si>
  <si>
    <t>hsa05134</t>
  </si>
  <si>
    <t>Legionellosis</t>
  </si>
  <si>
    <t>http://www.kegg.jp/kegg-bin/show_pathway?hsa05134+2919+2920+2921+3576+4790+4791</t>
  </si>
  <si>
    <t>2919;2920;2921;3576;4790;4791</t>
  </si>
  <si>
    <t>NFKB1;NFKB2;CXCL1;CXCL3;CXCL2;CXCL8</t>
  </si>
  <si>
    <t>http://www.kegg.jp/kegg-bin/show_pathway?hsa04621+2919+2920+2921+3576+4790+6347+7128+8767</t>
  </si>
  <si>
    <t>2919;2920;2921;3576;4790;6347;7128;8767</t>
  </si>
  <si>
    <t>NFKB1;CXCL1;CXCL3;RIPK2;TNFAIP3;CXCL2;CXCL8;CCL2</t>
  </si>
  <si>
    <t>hsa04060</t>
  </si>
  <si>
    <t>Cytokine-cytokine receptor interaction</t>
  </si>
  <si>
    <t>http://www.kegg.jp/kegg-bin/show_pathway?hsa04060+2919+2920+2921+3576+3627+6347+6364+6373+9235</t>
  </si>
  <si>
    <t>2919;2920;2921;3576;3627;6347;6364;6373;9235</t>
  </si>
  <si>
    <t>CCL20;CXCL1;CXCL3;IL32;CXCL11;CXCL2;CXCL8;CCL2;CXCL10</t>
  </si>
  <si>
    <t>http://www.kegg.jp/kegg-bin/show_pathway?hsa05417+2919+2920+2921+3383+3576+4790+6347+7412</t>
  </si>
  <si>
    <t>2919;2920;2921;3383;3576;4790;6347;7412</t>
  </si>
  <si>
    <t>NFKB1;CXCL1;VCAM1;CXCL3;ICAM1;CXCL2;CXCL8;CCL2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</si>
</sst>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2" borderId="1" xfId="1"/>
    <xf numFmtId="11" fontId="0" fillId="0" borderId="0" xfId="0" applyNumberForma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6A43-10BE-4713-99FA-AA9C14A686E4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12</v>
      </c>
      <c r="B2" t="s">
        <v>13</v>
      </c>
      <c r="C2" t="s">
        <v>14</v>
      </c>
      <c r="D2">
        <v>31</v>
      </c>
      <c r="E2">
        <v>2</v>
      </c>
      <c r="F2">
        <v>3.9449329014345197E-2</v>
      </c>
      <c r="G2">
        <v>50.697947214076201</v>
      </c>
      <c r="H2" s="2">
        <v>6.70994856672206E-4</v>
      </c>
      <c r="I2" s="3">
        <v>0.23619018954861601</v>
      </c>
      <c r="J2" t="s">
        <v>15</v>
      </c>
      <c r="K2" t="s">
        <v>16</v>
      </c>
      <c r="L2">
        <f>-LOG(H2,10)</f>
        <v>3.1732808087839741</v>
      </c>
    </row>
    <row r="3" spans="1:12" x14ac:dyDescent="0.3">
      <c r="A3" t="s">
        <v>17</v>
      </c>
      <c r="B3" t="s">
        <v>18</v>
      </c>
      <c r="C3" t="s">
        <v>19</v>
      </c>
      <c r="D3">
        <v>67</v>
      </c>
      <c r="E3">
        <v>2</v>
      </c>
      <c r="F3">
        <v>8.5261453031004103E-2</v>
      </c>
      <c r="G3">
        <v>23.457259158751601</v>
      </c>
      <c r="H3">
        <v>3.1116933658542601E-3</v>
      </c>
      <c r="I3" s="3">
        <v>0.54765803239035105</v>
      </c>
      <c r="J3" t="s">
        <v>15</v>
      </c>
      <c r="K3" t="s">
        <v>16</v>
      </c>
      <c r="L3">
        <f t="shared" ref="L3:L11" si="0">-LOG(H3,10)</f>
        <v>2.5070032060521021</v>
      </c>
    </row>
    <row r="4" spans="1:12" x14ac:dyDescent="0.3">
      <c r="A4" t="s">
        <v>20</v>
      </c>
      <c r="B4" t="s">
        <v>21</v>
      </c>
      <c r="C4" t="s">
        <v>22</v>
      </c>
      <c r="D4">
        <v>115</v>
      </c>
      <c r="E4">
        <v>2</v>
      </c>
      <c r="F4">
        <v>0.14634428505321601</v>
      </c>
      <c r="G4">
        <v>13.6664031620553</v>
      </c>
      <c r="H4">
        <v>8.9228700320971993E-3</v>
      </c>
      <c r="I4" s="3">
        <v>1</v>
      </c>
      <c r="J4" t="s">
        <v>15</v>
      </c>
      <c r="K4" t="s">
        <v>16</v>
      </c>
      <c r="L4">
        <f t="shared" si="0"/>
        <v>2.0494954327737345</v>
      </c>
    </row>
    <row r="5" spans="1:12" x14ac:dyDescent="0.3">
      <c r="A5" t="s">
        <v>23</v>
      </c>
      <c r="B5" t="s">
        <v>24</v>
      </c>
      <c r="C5" t="s">
        <v>25</v>
      </c>
      <c r="D5">
        <v>205</v>
      </c>
      <c r="E5">
        <v>2</v>
      </c>
      <c r="F5">
        <v>0.26087459509486299</v>
      </c>
      <c r="G5">
        <v>7.6665188470066497</v>
      </c>
      <c r="H5">
        <v>2.6739362429106101E-2</v>
      </c>
      <c r="I5" s="3">
        <v>1</v>
      </c>
      <c r="J5" t="s">
        <v>26</v>
      </c>
      <c r="K5" t="s">
        <v>27</v>
      </c>
      <c r="L5">
        <f t="shared" si="0"/>
        <v>1.5728489522281901</v>
      </c>
    </row>
    <row r="6" spans="1:12" x14ac:dyDescent="0.3">
      <c r="A6" t="s">
        <v>28</v>
      </c>
      <c r="B6" t="s">
        <v>29</v>
      </c>
      <c r="C6" t="s">
        <v>30</v>
      </c>
      <c r="D6">
        <v>34</v>
      </c>
      <c r="E6">
        <v>1</v>
      </c>
      <c r="F6">
        <v>4.3267006015733397E-2</v>
      </c>
      <c r="G6">
        <v>23.1122994652406</v>
      </c>
      <c r="H6">
        <v>4.2450123247907597E-2</v>
      </c>
      <c r="I6" s="3">
        <v>1</v>
      </c>
      <c r="J6">
        <v>226</v>
      </c>
      <c r="K6" t="s">
        <v>31</v>
      </c>
      <c r="L6">
        <f t="shared" si="0"/>
        <v>1.3721210445058123</v>
      </c>
    </row>
    <row r="7" spans="1:12" x14ac:dyDescent="0.3">
      <c r="A7" t="s">
        <v>32</v>
      </c>
      <c r="B7" t="s">
        <v>33</v>
      </c>
      <c r="C7" t="s">
        <v>34</v>
      </c>
      <c r="D7">
        <v>36</v>
      </c>
      <c r="E7">
        <v>1</v>
      </c>
      <c r="F7">
        <v>4.5812124016658899E-2</v>
      </c>
      <c r="G7">
        <v>21.828282828282799</v>
      </c>
      <c r="H7">
        <v>4.4895403430533602E-2</v>
      </c>
      <c r="I7" s="3">
        <v>1</v>
      </c>
      <c r="J7">
        <v>2821</v>
      </c>
      <c r="K7" t="s">
        <v>35</v>
      </c>
      <c r="L7">
        <f t="shared" si="0"/>
        <v>1.347798121512138</v>
      </c>
    </row>
    <row r="8" spans="1:12" x14ac:dyDescent="0.3">
      <c r="A8" t="s">
        <v>36</v>
      </c>
      <c r="B8" t="s">
        <v>37</v>
      </c>
      <c r="C8" t="s">
        <v>38</v>
      </c>
      <c r="D8">
        <v>37</v>
      </c>
      <c r="E8">
        <v>1</v>
      </c>
      <c r="F8">
        <v>4.7084683017121702E-2</v>
      </c>
      <c r="G8">
        <v>21.2383292383292</v>
      </c>
      <c r="H8">
        <v>4.6115913485749803E-2</v>
      </c>
      <c r="I8" s="3">
        <v>1</v>
      </c>
      <c r="J8">
        <v>2821</v>
      </c>
      <c r="K8" t="s">
        <v>35</v>
      </c>
      <c r="L8">
        <f t="shared" si="0"/>
        <v>1.336149184231211</v>
      </c>
    </row>
    <row r="9" spans="1:12" x14ac:dyDescent="0.3">
      <c r="A9" t="s">
        <v>39</v>
      </c>
      <c r="B9" t="s">
        <v>40</v>
      </c>
      <c r="C9" t="s">
        <v>41</v>
      </c>
      <c r="D9">
        <v>49</v>
      </c>
      <c r="E9">
        <v>1</v>
      </c>
      <c r="F9">
        <v>6.2355391022674601E-2</v>
      </c>
      <c r="G9">
        <v>16.037105751391401</v>
      </c>
      <c r="H9">
        <v>6.0651849907184002E-2</v>
      </c>
      <c r="I9" s="3">
        <v>1</v>
      </c>
      <c r="J9">
        <v>2821</v>
      </c>
      <c r="K9" t="s">
        <v>35</v>
      </c>
      <c r="L9">
        <f t="shared" si="0"/>
        <v>1.2171559484292327</v>
      </c>
    </row>
    <row r="10" spans="1:12" x14ac:dyDescent="0.3">
      <c r="A10" t="s">
        <v>42</v>
      </c>
      <c r="B10" t="s">
        <v>43</v>
      </c>
      <c r="C10" t="s">
        <v>44</v>
      </c>
      <c r="D10">
        <v>50</v>
      </c>
      <c r="E10">
        <v>1</v>
      </c>
      <c r="F10">
        <v>6.3627950023137397E-2</v>
      </c>
      <c r="G10">
        <v>15.716363636363599</v>
      </c>
      <c r="H10">
        <v>6.1854040674195997E-2</v>
      </c>
      <c r="I10" s="3">
        <v>1</v>
      </c>
      <c r="J10">
        <v>60</v>
      </c>
      <c r="K10" t="s">
        <v>45</v>
      </c>
      <c r="L10">
        <f t="shared" si="0"/>
        <v>1.2086319244069403</v>
      </c>
    </row>
    <row r="11" spans="1:12" x14ac:dyDescent="0.3">
      <c r="A11" t="s">
        <v>46</v>
      </c>
      <c r="B11" t="s">
        <v>47</v>
      </c>
      <c r="C11" t="s">
        <v>48</v>
      </c>
      <c r="D11">
        <v>67</v>
      </c>
      <c r="E11">
        <v>1</v>
      </c>
      <c r="F11">
        <v>8.5261453031004103E-2</v>
      </c>
      <c r="G11">
        <v>11.7286295793758</v>
      </c>
      <c r="H11">
        <v>8.20784476655773E-2</v>
      </c>
      <c r="I11" s="3">
        <v>1</v>
      </c>
      <c r="J11">
        <v>60</v>
      </c>
      <c r="K11" t="s">
        <v>45</v>
      </c>
      <c r="L11">
        <f t="shared" si="0"/>
        <v>1.0857708658853904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EA1F-61A0-44C5-BAC2-0CD43CA24C1D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49</v>
      </c>
      <c r="B2" s="4" t="s">
        <v>50</v>
      </c>
      <c r="C2" t="s">
        <v>51</v>
      </c>
      <c r="D2">
        <v>114</v>
      </c>
      <c r="E2">
        <v>11</v>
      </c>
      <c r="F2">
        <v>0.38246182322998601</v>
      </c>
      <c r="G2">
        <v>28.7610405323653</v>
      </c>
      <c r="H2" s="2">
        <v>3.6444836471822498E-14</v>
      </c>
      <c r="I2" s="5">
        <v>1.28285824380815E-11</v>
      </c>
      <c r="J2" t="s">
        <v>52</v>
      </c>
      <c r="K2" s="4" t="s">
        <v>53</v>
      </c>
      <c r="L2" s="6">
        <f>-LOG(H2,10)</f>
        <v>13.438363994112699</v>
      </c>
    </row>
    <row r="3" spans="1:12" x14ac:dyDescent="0.3">
      <c r="A3" t="s">
        <v>54</v>
      </c>
      <c r="B3" s="4" t="s">
        <v>55</v>
      </c>
      <c r="C3" t="s">
        <v>56</v>
      </c>
      <c r="D3">
        <v>93</v>
      </c>
      <c r="E3">
        <v>9</v>
      </c>
      <c r="F3">
        <v>0.312008329477093</v>
      </c>
      <c r="G3">
        <v>28.845383759733</v>
      </c>
      <c r="H3" s="2">
        <v>1.0926982900132799E-11</v>
      </c>
      <c r="I3" s="5">
        <v>1.9231489904233802E-9</v>
      </c>
      <c r="J3" t="s">
        <v>57</v>
      </c>
      <c r="K3" s="4" t="s">
        <v>58</v>
      </c>
      <c r="L3" s="6">
        <f t="shared" ref="L3:L11" si="0">-LOG(H3,10)</f>
        <v>10.961499736559436</v>
      </c>
    </row>
    <row r="4" spans="1:12" x14ac:dyDescent="0.3">
      <c r="A4" t="s">
        <v>59</v>
      </c>
      <c r="B4" s="4" t="s">
        <v>60</v>
      </c>
      <c r="C4" t="s">
        <v>61</v>
      </c>
      <c r="D4">
        <v>94</v>
      </c>
      <c r="E4">
        <v>8</v>
      </c>
      <c r="F4">
        <v>0.31536325775104102</v>
      </c>
      <c r="G4">
        <v>25.3675715333822</v>
      </c>
      <c r="H4" s="2">
        <v>5.1446443394107896E-10</v>
      </c>
      <c r="I4" s="5">
        <v>6.0363826915753195E-8</v>
      </c>
      <c r="J4" t="s">
        <v>62</v>
      </c>
      <c r="K4" s="4" t="s">
        <v>63</v>
      </c>
      <c r="L4" s="6">
        <f t="shared" si="0"/>
        <v>9.2886446435974328</v>
      </c>
    </row>
    <row r="5" spans="1:12" x14ac:dyDescent="0.3">
      <c r="A5" t="s">
        <v>64</v>
      </c>
      <c r="B5" s="4" t="s">
        <v>65</v>
      </c>
      <c r="C5" t="s">
        <v>66</v>
      </c>
      <c r="D5">
        <v>215</v>
      </c>
      <c r="E5">
        <v>10</v>
      </c>
      <c r="F5">
        <v>0.72130957889865799</v>
      </c>
      <c r="G5">
        <v>13.8636728147554</v>
      </c>
      <c r="H5" s="2">
        <v>9.7495785943292601E-10</v>
      </c>
      <c r="I5" s="5">
        <v>8.5796291630097506E-8</v>
      </c>
      <c r="J5" t="s">
        <v>67</v>
      </c>
      <c r="K5" s="4" t="s">
        <v>68</v>
      </c>
      <c r="L5" s="6">
        <f t="shared" si="0"/>
        <v>9.011014155389935</v>
      </c>
    </row>
    <row r="6" spans="1:12" x14ac:dyDescent="0.3">
      <c r="A6" t="s">
        <v>69</v>
      </c>
      <c r="B6" s="4" t="s">
        <v>70</v>
      </c>
      <c r="C6" t="s">
        <v>71</v>
      </c>
      <c r="D6">
        <v>100</v>
      </c>
      <c r="E6">
        <v>7</v>
      </c>
      <c r="F6">
        <v>0.33549282739472402</v>
      </c>
      <c r="G6">
        <v>20.8648275862068</v>
      </c>
      <c r="H6" s="2">
        <v>2.8428337530504298E-8</v>
      </c>
      <c r="I6" s="5">
        <v>2.0013549621475001E-6</v>
      </c>
      <c r="J6" t="s">
        <v>72</v>
      </c>
      <c r="K6" s="4" t="s">
        <v>73</v>
      </c>
      <c r="L6" s="6">
        <f t="shared" si="0"/>
        <v>7.5462485368075871</v>
      </c>
    </row>
    <row r="7" spans="1:12" x14ac:dyDescent="0.3">
      <c r="A7" t="s">
        <v>74</v>
      </c>
      <c r="B7" s="4" t="s">
        <v>75</v>
      </c>
      <c r="C7" t="s">
        <v>76</v>
      </c>
      <c r="D7">
        <v>186</v>
      </c>
      <c r="E7">
        <v>8</v>
      </c>
      <c r="F7">
        <v>0.62401665895418701</v>
      </c>
      <c r="G7">
        <v>12.8201705598813</v>
      </c>
      <c r="H7" s="2">
        <v>1.1528658744357201E-7</v>
      </c>
      <c r="I7" s="5">
        <v>6.7634797966895701E-6</v>
      </c>
      <c r="J7" t="s">
        <v>77</v>
      </c>
      <c r="K7" s="4" t="s">
        <v>78</v>
      </c>
      <c r="L7" s="6">
        <f t="shared" si="0"/>
        <v>6.9382212160190457</v>
      </c>
    </row>
    <row r="8" spans="1:12" x14ac:dyDescent="0.3">
      <c r="A8" t="s">
        <v>79</v>
      </c>
      <c r="B8" s="4" t="s">
        <v>80</v>
      </c>
      <c r="C8" t="s">
        <v>81</v>
      </c>
      <c r="D8">
        <v>76</v>
      </c>
      <c r="E8">
        <v>6</v>
      </c>
      <c r="F8">
        <v>0.25497454881998999</v>
      </c>
      <c r="G8">
        <v>23.531760435571599</v>
      </c>
      <c r="H8" s="2">
        <v>1.5297073579303999E-7</v>
      </c>
      <c r="I8" s="5">
        <v>7.02567505339836E-6</v>
      </c>
      <c r="J8" t="s">
        <v>82</v>
      </c>
      <c r="K8" s="4" t="s">
        <v>83</v>
      </c>
      <c r="L8" s="6">
        <f t="shared" si="0"/>
        <v>6.8153916443405906</v>
      </c>
    </row>
    <row r="9" spans="1:12" x14ac:dyDescent="0.3">
      <c r="A9" t="s">
        <v>84</v>
      </c>
      <c r="B9" s="4" t="s">
        <v>85</v>
      </c>
      <c r="C9" t="s">
        <v>86</v>
      </c>
      <c r="D9">
        <v>194</v>
      </c>
      <c r="E9">
        <v>8</v>
      </c>
      <c r="F9">
        <v>0.65085608514576498</v>
      </c>
      <c r="G9">
        <v>12.2915037326697</v>
      </c>
      <c r="H9" s="2">
        <v>1.5967443303178101E-7</v>
      </c>
      <c r="I9" s="5">
        <v>7.02567505339836E-6</v>
      </c>
      <c r="J9" t="s">
        <v>87</v>
      </c>
      <c r="K9" s="4" t="s">
        <v>88</v>
      </c>
      <c r="L9" s="6">
        <f t="shared" si="0"/>
        <v>6.796764617249865</v>
      </c>
    </row>
    <row r="10" spans="1:12" x14ac:dyDescent="0.3">
      <c r="A10" t="s">
        <v>89</v>
      </c>
      <c r="B10" s="4" t="s">
        <v>90</v>
      </c>
      <c r="C10" t="s">
        <v>91</v>
      </c>
      <c r="D10">
        <v>139</v>
      </c>
      <c r="E10">
        <v>7</v>
      </c>
      <c r="F10">
        <v>0.466335030078667</v>
      </c>
      <c r="G10">
        <v>15.0106673282064</v>
      </c>
      <c r="H10" s="2">
        <v>2.7756486387255798E-7</v>
      </c>
      <c r="I10" s="5">
        <v>1.085587023146E-5</v>
      </c>
      <c r="J10" t="s">
        <v>92</v>
      </c>
      <c r="K10" s="4" t="s">
        <v>93</v>
      </c>
      <c r="L10" s="6">
        <f t="shared" si="0"/>
        <v>6.5566355108110077</v>
      </c>
    </row>
    <row r="11" spans="1:12" x14ac:dyDescent="0.3">
      <c r="A11" t="s">
        <v>94</v>
      </c>
      <c r="B11" s="4" t="s">
        <v>95</v>
      </c>
      <c r="C11" t="s">
        <v>96</v>
      </c>
      <c r="D11">
        <v>100</v>
      </c>
      <c r="E11">
        <v>6</v>
      </c>
      <c r="F11">
        <v>0.33549282739472402</v>
      </c>
      <c r="G11">
        <v>17.884137931034399</v>
      </c>
      <c r="H11" s="2">
        <v>7.8940215192678203E-7</v>
      </c>
      <c r="I11" s="5">
        <v>2.7786955747822699E-5</v>
      </c>
      <c r="J11" t="s">
        <v>97</v>
      </c>
      <c r="K11" s="4" t="s">
        <v>98</v>
      </c>
      <c r="L11" s="6">
        <f t="shared" si="0"/>
        <v>6.102701694043045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2D21-E398-45DA-9DFF-A2481F38EFC5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99</v>
      </c>
      <c r="B2" s="4" t="s">
        <v>100</v>
      </c>
      <c r="C2" t="s">
        <v>101</v>
      </c>
      <c r="D2">
        <v>1068</v>
      </c>
      <c r="E2">
        <v>7</v>
      </c>
      <c r="F2">
        <v>1.06712689617585</v>
      </c>
      <c r="G2">
        <v>6.5596697310180403</v>
      </c>
      <c r="H2" s="2">
        <v>1.8439185492030699E-5</v>
      </c>
      <c r="I2" s="6">
        <v>3.6638661572665002E-2</v>
      </c>
      <c r="J2" t="s">
        <v>102</v>
      </c>
      <c r="K2" s="4" t="s">
        <v>103</v>
      </c>
      <c r="L2" s="6">
        <f>-LOG(H2,10)</f>
        <v>4.7342582668034927</v>
      </c>
    </row>
    <row r="3" spans="1:12" x14ac:dyDescent="0.3">
      <c r="A3" t="s">
        <v>104</v>
      </c>
      <c r="B3" s="4" t="s">
        <v>105</v>
      </c>
      <c r="C3" t="s">
        <v>106</v>
      </c>
      <c r="D3">
        <v>480</v>
      </c>
      <c r="E3">
        <v>5</v>
      </c>
      <c r="F3">
        <v>0.47960759378690099</v>
      </c>
      <c r="G3">
        <v>10.4251893939393</v>
      </c>
      <c r="H3" s="2">
        <v>5.7307135335566998E-5</v>
      </c>
      <c r="I3" s="3">
        <v>5.6934638955885797E-2</v>
      </c>
      <c r="J3" t="s">
        <v>107</v>
      </c>
      <c r="K3" s="4" t="s">
        <v>108</v>
      </c>
      <c r="L3">
        <f t="shared" ref="L3:L11" si="0">-LOG(H3,10)</f>
        <v>4.2417913004769989</v>
      </c>
    </row>
    <row r="4" spans="1:12" x14ac:dyDescent="0.3">
      <c r="A4" t="s">
        <v>109</v>
      </c>
      <c r="B4" t="s">
        <v>110</v>
      </c>
      <c r="C4" t="s">
        <v>111</v>
      </c>
      <c r="D4">
        <v>35</v>
      </c>
      <c r="E4">
        <v>2</v>
      </c>
      <c r="F4">
        <v>3.4971387046961497E-2</v>
      </c>
      <c r="G4">
        <v>57.189610389610301</v>
      </c>
      <c r="H4" s="2">
        <v>5.30443254428974E-4</v>
      </c>
      <c r="I4" s="3">
        <v>0.35133024885012398</v>
      </c>
      <c r="J4" t="s">
        <v>15</v>
      </c>
      <c r="K4" t="s">
        <v>16</v>
      </c>
      <c r="L4">
        <f t="shared" si="0"/>
        <v>3.2753610690793531</v>
      </c>
    </row>
    <row r="5" spans="1:12" x14ac:dyDescent="0.3">
      <c r="A5" t="s">
        <v>112</v>
      </c>
      <c r="B5" t="s">
        <v>113</v>
      </c>
      <c r="C5" t="s">
        <v>114</v>
      </c>
      <c r="D5">
        <v>73</v>
      </c>
      <c r="E5">
        <v>2</v>
      </c>
      <c r="F5">
        <v>7.2940321555091295E-2</v>
      </c>
      <c r="G5">
        <v>27.419676214196699</v>
      </c>
      <c r="H5">
        <v>2.2948226373229398E-3</v>
      </c>
      <c r="I5" s="3">
        <v>0.95601176188554104</v>
      </c>
      <c r="J5" t="s">
        <v>15</v>
      </c>
      <c r="K5" t="s">
        <v>16</v>
      </c>
      <c r="L5">
        <f t="shared" si="0"/>
        <v>2.6392508746620265</v>
      </c>
    </row>
    <row r="6" spans="1:12" x14ac:dyDescent="0.3">
      <c r="A6" t="s">
        <v>115</v>
      </c>
      <c r="B6" s="4" t="s">
        <v>116</v>
      </c>
      <c r="C6" t="s">
        <v>117</v>
      </c>
      <c r="D6">
        <v>621</v>
      </c>
      <c r="E6">
        <v>4</v>
      </c>
      <c r="F6">
        <v>0.62049232446180402</v>
      </c>
      <c r="G6">
        <v>6.4464939247547903</v>
      </c>
      <c r="H6">
        <v>2.4056662352429301E-3</v>
      </c>
      <c r="I6" s="3">
        <v>0.95601176188554104</v>
      </c>
      <c r="J6" t="s">
        <v>118</v>
      </c>
      <c r="K6" s="4" t="s">
        <v>119</v>
      </c>
      <c r="L6">
        <f t="shared" si="0"/>
        <v>2.6187646273067293</v>
      </c>
    </row>
    <row r="7" spans="1:12" x14ac:dyDescent="0.3">
      <c r="A7" t="s">
        <v>120</v>
      </c>
      <c r="B7" t="s">
        <v>121</v>
      </c>
      <c r="C7" t="s">
        <v>122</v>
      </c>
      <c r="D7">
        <v>93</v>
      </c>
      <c r="E7">
        <v>2</v>
      </c>
      <c r="F7">
        <v>9.2923971296212104E-2</v>
      </c>
      <c r="G7">
        <v>21.5229716520039</v>
      </c>
      <c r="H7">
        <v>3.69512243376566E-3</v>
      </c>
      <c r="I7" s="3">
        <v>1</v>
      </c>
      <c r="J7" t="s">
        <v>15</v>
      </c>
      <c r="K7" t="s">
        <v>16</v>
      </c>
      <c r="L7">
        <f t="shared" si="0"/>
        <v>2.4323711671668784</v>
      </c>
    </row>
    <row r="8" spans="1:12" x14ac:dyDescent="0.3">
      <c r="A8" t="s">
        <v>123</v>
      </c>
      <c r="B8" t="s">
        <v>124</v>
      </c>
      <c r="C8" t="s">
        <v>125</v>
      </c>
      <c r="D8">
        <v>6</v>
      </c>
      <c r="E8">
        <v>1</v>
      </c>
      <c r="F8">
        <v>5.9950949223362702E-3</v>
      </c>
      <c r="G8">
        <v>166.80303030303</v>
      </c>
      <c r="H8">
        <v>5.98149444413706E-3</v>
      </c>
      <c r="I8" s="3">
        <v>1</v>
      </c>
      <c r="J8">
        <v>3934</v>
      </c>
      <c r="K8" t="s">
        <v>126</v>
      </c>
      <c r="L8">
        <f t="shared" si="0"/>
        <v>2.2231902963197316</v>
      </c>
    </row>
    <row r="9" spans="1:12" x14ac:dyDescent="0.3">
      <c r="A9" t="s">
        <v>127</v>
      </c>
      <c r="B9" t="s">
        <v>128</v>
      </c>
      <c r="C9" t="s">
        <v>129</v>
      </c>
      <c r="D9">
        <v>129</v>
      </c>
      <c r="E9">
        <v>2</v>
      </c>
      <c r="F9">
        <v>0.128894540830229</v>
      </c>
      <c r="G9">
        <v>15.516560958421399</v>
      </c>
      <c r="H9">
        <v>6.9925233736904098E-3</v>
      </c>
      <c r="I9" s="3">
        <v>1</v>
      </c>
      <c r="J9" t="s">
        <v>130</v>
      </c>
      <c r="K9" t="s">
        <v>131</v>
      </c>
      <c r="L9">
        <f t="shared" si="0"/>
        <v>2.1553660732513511</v>
      </c>
    </row>
    <row r="10" spans="1:12" x14ac:dyDescent="0.3">
      <c r="A10" t="s">
        <v>132</v>
      </c>
      <c r="B10" t="s">
        <v>133</v>
      </c>
      <c r="C10" t="s">
        <v>134</v>
      </c>
      <c r="D10">
        <v>134</v>
      </c>
      <c r="E10">
        <v>2</v>
      </c>
      <c r="F10">
        <v>0.13389045326551</v>
      </c>
      <c r="G10">
        <v>14.937584803256399</v>
      </c>
      <c r="H10">
        <v>7.5267394359688697E-3</v>
      </c>
      <c r="I10" s="3">
        <v>1</v>
      </c>
      <c r="J10" t="s">
        <v>130</v>
      </c>
      <c r="K10" t="s">
        <v>131</v>
      </c>
      <c r="L10">
        <f t="shared" si="0"/>
        <v>2.1233931183060508</v>
      </c>
    </row>
    <row r="11" spans="1:12" x14ac:dyDescent="0.3">
      <c r="A11" t="s">
        <v>135</v>
      </c>
      <c r="B11" t="s">
        <v>136</v>
      </c>
      <c r="C11" t="s">
        <v>137</v>
      </c>
      <c r="D11">
        <v>153</v>
      </c>
      <c r="E11">
        <v>2</v>
      </c>
      <c r="F11">
        <v>0.15287492051957399</v>
      </c>
      <c r="G11">
        <v>13.082590612002299</v>
      </c>
      <c r="H11">
        <v>9.7204675728432E-3</v>
      </c>
      <c r="I11" s="3">
        <v>1</v>
      </c>
      <c r="J11" t="s">
        <v>138</v>
      </c>
      <c r="K11" t="s">
        <v>139</v>
      </c>
      <c r="L11">
        <f t="shared" si="0"/>
        <v>2.0123128441867166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842-838D-44A3-A84A-D6017DD8A28D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140</v>
      </c>
      <c r="B2" s="4" t="s">
        <v>141</v>
      </c>
      <c r="C2" t="s">
        <v>142</v>
      </c>
      <c r="D2">
        <v>47</v>
      </c>
      <c r="E2">
        <v>6</v>
      </c>
      <c r="F2">
        <v>0.123807793623399</v>
      </c>
      <c r="G2">
        <v>48.462215700660302</v>
      </c>
      <c r="H2" s="2">
        <v>1.9190939544695499E-9</v>
      </c>
      <c r="I2" s="5">
        <v>3.8132396875310001E-6</v>
      </c>
      <c r="J2" t="s">
        <v>143</v>
      </c>
      <c r="K2" s="4" t="s">
        <v>144</v>
      </c>
      <c r="L2" s="6">
        <f>-LOG(H2,10)</f>
        <v>8.7169037626752495</v>
      </c>
    </row>
    <row r="3" spans="1:12" x14ac:dyDescent="0.3">
      <c r="A3" t="s">
        <v>145</v>
      </c>
      <c r="B3" s="4" t="s">
        <v>146</v>
      </c>
      <c r="C3" t="s">
        <v>147</v>
      </c>
      <c r="D3">
        <v>473</v>
      </c>
      <c r="E3">
        <v>11</v>
      </c>
      <c r="F3">
        <v>1.2459805613588799</v>
      </c>
      <c r="G3">
        <v>8.8283881315156307</v>
      </c>
      <c r="H3" s="2">
        <v>1.4065560488260499E-8</v>
      </c>
      <c r="I3" s="5">
        <v>1.39741343450868E-5</v>
      </c>
      <c r="J3" t="s">
        <v>148</v>
      </c>
      <c r="K3" s="4" t="s">
        <v>149</v>
      </c>
      <c r="L3" s="6">
        <f t="shared" ref="L3:L11" si="0">-LOG(H3,10)</f>
        <v>7.8518429572699304</v>
      </c>
    </row>
    <row r="4" spans="1:12" x14ac:dyDescent="0.3">
      <c r="A4" t="s">
        <v>150</v>
      </c>
      <c r="B4" s="4" t="s">
        <v>151</v>
      </c>
      <c r="C4" t="s">
        <v>152</v>
      </c>
      <c r="D4">
        <v>787</v>
      </c>
      <c r="E4">
        <v>13</v>
      </c>
      <c r="F4">
        <v>2.0731219910981902</v>
      </c>
      <c r="G4">
        <v>6.2707356613942</v>
      </c>
      <c r="H4" s="2">
        <v>2.6775977438920499E-8</v>
      </c>
      <c r="I4" s="5">
        <v>1.7734622390378401E-5</v>
      </c>
      <c r="J4" t="s">
        <v>153</v>
      </c>
      <c r="K4" s="4" t="s">
        <v>154</v>
      </c>
      <c r="L4" s="6">
        <f t="shared" si="0"/>
        <v>7.5722546665808306</v>
      </c>
    </row>
    <row r="5" spans="1:12" x14ac:dyDescent="0.3">
      <c r="A5" t="s">
        <v>155</v>
      </c>
      <c r="B5" s="4" t="s">
        <v>156</v>
      </c>
      <c r="C5" t="s">
        <v>157</v>
      </c>
      <c r="D5">
        <v>59</v>
      </c>
      <c r="E5">
        <v>5</v>
      </c>
      <c r="F5">
        <v>0.15541829412298999</v>
      </c>
      <c r="G5">
        <v>32.171244886031502</v>
      </c>
      <c r="H5" s="2">
        <v>4.0024034547616801E-7</v>
      </c>
      <c r="I5" s="5">
        <v>1.98819391615286E-4</v>
      </c>
      <c r="J5" t="s">
        <v>158</v>
      </c>
      <c r="K5" s="4" t="s">
        <v>159</v>
      </c>
      <c r="L5" s="6">
        <f t="shared" si="0"/>
        <v>6.3976791352537479</v>
      </c>
    </row>
    <row r="6" spans="1:12" x14ac:dyDescent="0.3">
      <c r="A6" t="s">
        <v>160</v>
      </c>
      <c r="B6" s="4" t="s">
        <v>161</v>
      </c>
      <c r="C6" t="s">
        <v>162</v>
      </c>
      <c r="D6">
        <v>108</v>
      </c>
      <c r="E6">
        <v>5</v>
      </c>
      <c r="F6">
        <v>0.28449450449632102</v>
      </c>
      <c r="G6">
        <v>17.5750319284802</v>
      </c>
      <c r="H6" s="2">
        <v>8.1501164729044192E-6</v>
      </c>
      <c r="I6" s="4">
        <v>3.2388562863322101E-3</v>
      </c>
      <c r="J6" t="s">
        <v>163</v>
      </c>
      <c r="K6" s="4" t="s">
        <v>164</v>
      </c>
      <c r="L6" s="6">
        <f t="shared" si="0"/>
        <v>5.0888361847350865</v>
      </c>
    </row>
    <row r="7" spans="1:12" x14ac:dyDescent="0.3">
      <c r="A7" t="s">
        <v>165</v>
      </c>
      <c r="B7" s="4" t="s">
        <v>166</v>
      </c>
      <c r="C7" t="s">
        <v>167</v>
      </c>
      <c r="D7">
        <v>201</v>
      </c>
      <c r="E7">
        <v>6</v>
      </c>
      <c r="F7">
        <v>0.52947588336815299</v>
      </c>
      <c r="G7">
        <v>11.331960885229</v>
      </c>
      <c r="H7" s="2">
        <v>1.1502850108559399E-5</v>
      </c>
      <c r="I7" s="4">
        <v>3.8093605276179202E-3</v>
      </c>
      <c r="J7" t="s">
        <v>168</v>
      </c>
      <c r="K7" s="4" t="s">
        <v>169</v>
      </c>
      <c r="L7" s="6">
        <f t="shared" si="0"/>
        <v>4.9391945393801464</v>
      </c>
    </row>
    <row r="8" spans="1:12" x14ac:dyDescent="0.3">
      <c r="A8" t="s">
        <v>170</v>
      </c>
      <c r="B8" s="4" t="s">
        <v>171</v>
      </c>
      <c r="C8" t="s">
        <v>172</v>
      </c>
      <c r="D8">
        <v>39</v>
      </c>
      <c r="E8">
        <v>3</v>
      </c>
      <c r="F8">
        <v>0.102734126623671</v>
      </c>
      <c r="G8">
        <v>29.2015915119363</v>
      </c>
      <c r="H8" s="2">
        <v>1.40925792095696E-4</v>
      </c>
      <c r="I8" s="4">
        <v>4.0002792699164097E-2</v>
      </c>
      <c r="J8" t="s">
        <v>173</v>
      </c>
      <c r="K8" s="4" t="s">
        <v>174</v>
      </c>
      <c r="L8" s="6">
        <f t="shared" si="0"/>
        <v>3.8510095154801127</v>
      </c>
    </row>
    <row r="9" spans="1:12" x14ac:dyDescent="0.3">
      <c r="A9" t="s">
        <v>175</v>
      </c>
      <c r="B9" s="4" t="s">
        <v>176</v>
      </c>
      <c r="C9" t="s">
        <v>177</v>
      </c>
      <c r="D9">
        <v>468</v>
      </c>
      <c r="E9">
        <v>7</v>
      </c>
      <c r="F9">
        <v>1.23280951948405</v>
      </c>
      <c r="G9">
        <v>5.6780872384320604</v>
      </c>
      <c r="H9" s="2">
        <v>1.6569160019288401E-4</v>
      </c>
      <c r="I9" s="4">
        <v>4.1153651197907697E-2</v>
      </c>
      <c r="J9" t="s">
        <v>178</v>
      </c>
      <c r="K9" s="4" t="s">
        <v>179</v>
      </c>
      <c r="L9" s="6">
        <f t="shared" si="0"/>
        <v>3.7806995077686305</v>
      </c>
    </row>
    <row r="10" spans="1:12" x14ac:dyDescent="0.3">
      <c r="A10" t="s">
        <v>180</v>
      </c>
      <c r="B10" s="4" t="s">
        <v>181</v>
      </c>
      <c r="C10" t="s">
        <v>182</v>
      </c>
      <c r="D10">
        <v>335</v>
      </c>
      <c r="E10">
        <v>6</v>
      </c>
      <c r="F10">
        <v>0.88245980561358806</v>
      </c>
      <c r="G10">
        <v>6.7991765311374097</v>
      </c>
      <c r="H10" s="2">
        <v>1.99343783344052E-4</v>
      </c>
      <c r="I10" s="4">
        <v>4.40106775005146E-2</v>
      </c>
      <c r="J10" t="s">
        <v>168</v>
      </c>
      <c r="K10" s="4" t="s">
        <v>169</v>
      </c>
      <c r="L10" s="6">
        <f t="shared" si="0"/>
        <v>3.7003973035253992</v>
      </c>
    </row>
    <row r="11" spans="1:12" x14ac:dyDescent="0.3">
      <c r="A11" t="s">
        <v>183</v>
      </c>
      <c r="B11" t="s">
        <v>184</v>
      </c>
      <c r="C11" t="s">
        <v>185</v>
      </c>
      <c r="D11">
        <v>10</v>
      </c>
      <c r="E11">
        <v>2</v>
      </c>
      <c r="F11">
        <v>2.6342083749659299E-2</v>
      </c>
      <c r="G11">
        <v>75.924137931034494</v>
      </c>
      <c r="H11" s="2">
        <v>2.9759705742998202E-4</v>
      </c>
      <c r="I11">
        <v>5.9132535311337497E-2</v>
      </c>
      <c r="J11" t="s">
        <v>186</v>
      </c>
      <c r="K11" t="s">
        <v>187</v>
      </c>
      <c r="L11">
        <f t="shared" si="0"/>
        <v>3.5263713673070707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2395-ECA4-4546-9600-1D579B93648F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188</v>
      </c>
      <c r="B2" s="4" t="s">
        <v>189</v>
      </c>
      <c r="C2" t="s">
        <v>190</v>
      </c>
      <c r="D2">
        <v>63</v>
      </c>
      <c r="E2">
        <v>3</v>
      </c>
      <c r="F2">
        <v>5.8306339657565903E-2</v>
      </c>
      <c r="G2">
        <v>51.452380952380899</v>
      </c>
      <c r="H2" s="2">
        <v>2.0133738416657899E-5</v>
      </c>
      <c r="I2" s="7">
        <v>7.0870759226635801E-3</v>
      </c>
      <c r="J2" t="s">
        <v>191</v>
      </c>
      <c r="K2" s="4" t="s">
        <v>192</v>
      </c>
      <c r="L2" s="6">
        <f>-LOG(H2,10)</f>
        <v>4.6960755781672665</v>
      </c>
    </row>
    <row r="3" spans="1:12" x14ac:dyDescent="0.3">
      <c r="A3" t="s">
        <v>193</v>
      </c>
      <c r="B3" s="4" t="s">
        <v>194</v>
      </c>
      <c r="C3" t="s">
        <v>195</v>
      </c>
      <c r="D3">
        <v>301</v>
      </c>
      <c r="E3">
        <v>4</v>
      </c>
      <c r="F3">
        <v>0.27857473391948101</v>
      </c>
      <c r="G3">
        <v>14.3588039867109</v>
      </c>
      <c r="H3" s="2">
        <v>9.0313833638691702E-5</v>
      </c>
      <c r="I3" s="7">
        <v>1.5895234720409698E-2</v>
      </c>
      <c r="J3" t="s">
        <v>196</v>
      </c>
      <c r="K3" s="4" t="s">
        <v>197</v>
      </c>
      <c r="L3" s="6">
        <f t="shared" ref="L3:L11" si="0">-LOG(H3,10)</f>
        <v>4.0442457224129269</v>
      </c>
    </row>
    <row r="4" spans="1:12" x14ac:dyDescent="0.3">
      <c r="A4" t="s">
        <v>198</v>
      </c>
      <c r="B4" s="4" t="s">
        <v>199</v>
      </c>
      <c r="C4" t="s">
        <v>200</v>
      </c>
      <c r="D4">
        <v>147</v>
      </c>
      <c r="E4">
        <v>3</v>
      </c>
      <c r="F4">
        <v>0.136048125867653</v>
      </c>
      <c r="G4">
        <v>22.0510204081632</v>
      </c>
      <c r="H4" s="2">
        <v>2.5349117892292899E-4</v>
      </c>
      <c r="I4" s="7">
        <v>2.1674558897880201E-2</v>
      </c>
      <c r="J4" t="s">
        <v>191</v>
      </c>
      <c r="K4" s="4" t="s">
        <v>192</v>
      </c>
      <c r="L4" s="6">
        <f t="shared" si="0"/>
        <v>3.5960371488030347</v>
      </c>
    </row>
    <row r="5" spans="1:12" x14ac:dyDescent="0.3">
      <c r="A5" t="s">
        <v>201</v>
      </c>
      <c r="B5" s="4" t="s">
        <v>202</v>
      </c>
      <c r="C5" t="s">
        <v>203</v>
      </c>
      <c r="D5">
        <v>149</v>
      </c>
      <c r="E5">
        <v>3</v>
      </c>
      <c r="F5">
        <v>0.13789912077741701</v>
      </c>
      <c r="G5">
        <v>21.7550335570469</v>
      </c>
      <c r="H5" s="2">
        <v>2.6382106766368799E-4</v>
      </c>
      <c r="I5" s="7">
        <v>2.1674558897880201E-2</v>
      </c>
      <c r="J5" t="s">
        <v>191</v>
      </c>
      <c r="K5" s="4" t="s">
        <v>192</v>
      </c>
      <c r="L5" s="6">
        <f t="shared" si="0"/>
        <v>3.578690526436533</v>
      </c>
    </row>
    <row r="6" spans="1:12" x14ac:dyDescent="0.3">
      <c r="A6" t="s">
        <v>204</v>
      </c>
      <c r="B6" t="s">
        <v>205</v>
      </c>
      <c r="C6" t="s">
        <v>206</v>
      </c>
      <c r="D6">
        <v>157</v>
      </c>
      <c r="E6">
        <v>3</v>
      </c>
      <c r="F6">
        <v>0.14530310041647301</v>
      </c>
      <c r="G6">
        <v>20.6464968152866</v>
      </c>
      <c r="H6" s="2">
        <v>3.0787725707216203E-4</v>
      </c>
      <c r="I6" s="7">
        <v>2.1674558897880201E-2</v>
      </c>
      <c r="J6" t="s">
        <v>207</v>
      </c>
      <c r="K6" t="s">
        <v>208</v>
      </c>
      <c r="L6">
        <f t="shared" si="0"/>
        <v>3.5116223912944817</v>
      </c>
    </row>
    <row r="7" spans="1:12" x14ac:dyDescent="0.3">
      <c r="A7" t="s">
        <v>209</v>
      </c>
      <c r="B7" t="s">
        <v>210</v>
      </c>
      <c r="C7" t="s">
        <v>211</v>
      </c>
      <c r="D7">
        <v>168</v>
      </c>
      <c r="E7">
        <v>3</v>
      </c>
      <c r="F7">
        <v>0.15548357242017499</v>
      </c>
      <c r="G7">
        <v>19.294642857142801</v>
      </c>
      <c r="H7" s="2">
        <v>3.7589003419795299E-4</v>
      </c>
      <c r="I7" s="7">
        <v>2.2052215339613299E-2</v>
      </c>
      <c r="J7" t="s">
        <v>191</v>
      </c>
      <c r="K7" s="4" t="s">
        <v>192</v>
      </c>
      <c r="L7" s="6">
        <f t="shared" si="0"/>
        <v>3.4249391883862419</v>
      </c>
    </row>
    <row r="8" spans="1:12" x14ac:dyDescent="0.3">
      <c r="A8" t="s">
        <v>212</v>
      </c>
      <c r="B8" t="s">
        <v>213</v>
      </c>
      <c r="C8" t="s">
        <v>214</v>
      </c>
      <c r="D8">
        <v>37</v>
      </c>
      <c r="E8">
        <v>2</v>
      </c>
      <c r="F8">
        <v>3.42434058306339E-2</v>
      </c>
      <c r="G8">
        <v>58.405405405405403</v>
      </c>
      <c r="H8" s="2">
        <v>4.9118191311396003E-4</v>
      </c>
      <c r="I8" s="7">
        <v>2.4699433345159099E-2</v>
      </c>
      <c r="J8" t="s">
        <v>215</v>
      </c>
      <c r="K8" t="s">
        <v>216</v>
      </c>
      <c r="L8">
        <f t="shared" si="0"/>
        <v>3.3087576336816769</v>
      </c>
    </row>
    <row r="9" spans="1:12" x14ac:dyDescent="0.3">
      <c r="A9" t="s">
        <v>217</v>
      </c>
      <c r="B9" s="4" t="s">
        <v>218</v>
      </c>
      <c r="C9" t="s">
        <v>219</v>
      </c>
      <c r="D9">
        <v>193</v>
      </c>
      <c r="E9">
        <v>3</v>
      </c>
      <c r="F9">
        <v>0.17862100879222501</v>
      </c>
      <c r="G9">
        <v>16.7953367875647</v>
      </c>
      <c r="H9" s="2">
        <v>5.6500566152831698E-4</v>
      </c>
      <c r="I9" s="7">
        <v>2.4860249107245901E-2</v>
      </c>
      <c r="J9" t="s">
        <v>220</v>
      </c>
      <c r="K9" s="4" t="s">
        <v>221</v>
      </c>
      <c r="L9" s="6">
        <f t="shared" si="0"/>
        <v>3.2479472003961569</v>
      </c>
    </row>
    <row r="10" spans="1:12" x14ac:dyDescent="0.3">
      <c r="A10" t="s">
        <v>222</v>
      </c>
      <c r="B10" t="s">
        <v>223</v>
      </c>
      <c r="C10" t="s">
        <v>224</v>
      </c>
      <c r="D10">
        <v>58</v>
      </c>
      <c r="E10">
        <v>2</v>
      </c>
      <c r="F10">
        <v>5.3678852383155902E-2</v>
      </c>
      <c r="G10">
        <v>37.258620689655103</v>
      </c>
      <c r="H10">
        <v>1.2072945774952201E-3</v>
      </c>
      <c r="I10" s="7">
        <v>4.72186323642576E-2</v>
      </c>
      <c r="J10" t="s">
        <v>215</v>
      </c>
      <c r="K10" t="s">
        <v>216</v>
      </c>
      <c r="L10">
        <f t="shared" si="0"/>
        <v>2.9181867499758476</v>
      </c>
    </row>
    <row r="11" spans="1:12" x14ac:dyDescent="0.3">
      <c r="A11" t="s">
        <v>225</v>
      </c>
      <c r="B11" t="s">
        <v>226</v>
      </c>
      <c r="C11" t="s">
        <v>227</v>
      </c>
      <c r="D11">
        <v>72</v>
      </c>
      <c r="E11">
        <v>2</v>
      </c>
      <c r="F11">
        <v>6.6635816751503901E-2</v>
      </c>
      <c r="G11">
        <v>30.0138888888888</v>
      </c>
      <c r="H11">
        <v>1.8547328498429399E-3</v>
      </c>
      <c r="I11" s="7">
        <v>4.8440754133812297E-2</v>
      </c>
      <c r="J11" t="s">
        <v>215</v>
      </c>
      <c r="K11" t="s">
        <v>216</v>
      </c>
      <c r="L11">
        <f t="shared" si="0"/>
        <v>2.7317186360189449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D097-DCF0-4712-8016-983EB30A7D70}">
  <dimension ref="A1:L11"/>
  <sheetViews>
    <sheetView workbookViewId="0">
      <selection activeCell="P12" sqref="P12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69</v>
      </c>
      <c r="B2" t="s">
        <v>70</v>
      </c>
      <c r="C2" t="s">
        <v>228</v>
      </c>
      <c r="D2">
        <v>100</v>
      </c>
      <c r="E2">
        <v>3</v>
      </c>
      <c r="F2">
        <v>0.115687181860249</v>
      </c>
      <c r="G2">
        <v>25.931999999999999</v>
      </c>
      <c r="H2" s="2">
        <v>1.69974082577286E-4</v>
      </c>
      <c r="I2" s="3">
        <v>5.9830877067204802E-2</v>
      </c>
      <c r="J2" t="s">
        <v>229</v>
      </c>
      <c r="K2" t="s">
        <v>230</v>
      </c>
      <c r="L2">
        <f>-LOG(H2,10)</f>
        <v>3.7696172942203168</v>
      </c>
    </row>
    <row r="3" spans="1:12" x14ac:dyDescent="0.3">
      <c r="A3" t="s">
        <v>231</v>
      </c>
      <c r="B3" t="s">
        <v>232</v>
      </c>
      <c r="C3" t="s">
        <v>233</v>
      </c>
      <c r="D3">
        <v>171</v>
      </c>
      <c r="E3">
        <v>3</v>
      </c>
      <c r="F3">
        <v>0.197825080981027</v>
      </c>
      <c r="G3">
        <v>15.164912280701699</v>
      </c>
      <c r="H3" s="2">
        <v>8.24110594926946E-4</v>
      </c>
      <c r="I3" s="3">
        <v>0.11265010273550299</v>
      </c>
      <c r="J3" t="s">
        <v>234</v>
      </c>
      <c r="K3" t="s">
        <v>235</v>
      </c>
      <c r="L3">
        <f t="shared" ref="L3:L11" si="0">-LOG(H3,10)</f>
        <v>3.0840145024491079</v>
      </c>
    </row>
    <row r="4" spans="1:12" x14ac:dyDescent="0.3">
      <c r="A4" t="s">
        <v>74</v>
      </c>
      <c r="B4" t="s">
        <v>75</v>
      </c>
      <c r="C4" t="s">
        <v>236</v>
      </c>
      <c r="D4">
        <v>186</v>
      </c>
      <c r="E4">
        <v>3</v>
      </c>
      <c r="F4">
        <v>0.21517815826006401</v>
      </c>
      <c r="G4">
        <v>13.9419354838709</v>
      </c>
      <c r="H4">
        <v>1.05235299687309E-3</v>
      </c>
      <c r="I4" s="3">
        <v>0.11265010273550299</v>
      </c>
      <c r="J4" t="s">
        <v>237</v>
      </c>
      <c r="K4" t="s">
        <v>238</v>
      </c>
      <c r="L4">
        <f t="shared" si="0"/>
        <v>2.9778385578255193</v>
      </c>
    </row>
    <row r="5" spans="1:12" x14ac:dyDescent="0.3">
      <c r="A5" t="s">
        <v>239</v>
      </c>
      <c r="B5" t="s">
        <v>240</v>
      </c>
      <c r="C5" t="s">
        <v>241</v>
      </c>
      <c r="D5">
        <v>50</v>
      </c>
      <c r="E5">
        <v>2</v>
      </c>
      <c r="F5">
        <v>5.7843590930124901E-2</v>
      </c>
      <c r="G5">
        <v>34.576000000000001</v>
      </c>
      <c r="H5">
        <v>1.4326086558284E-3</v>
      </c>
      <c r="I5" s="3">
        <v>0.11265010273550299</v>
      </c>
      <c r="J5" t="s">
        <v>242</v>
      </c>
      <c r="K5" t="s">
        <v>243</v>
      </c>
      <c r="L5">
        <f t="shared" si="0"/>
        <v>2.8438724291601178</v>
      </c>
    </row>
    <row r="6" spans="1:12" x14ac:dyDescent="0.3">
      <c r="A6" t="s">
        <v>64</v>
      </c>
      <c r="B6" t="s">
        <v>65</v>
      </c>
      <c r="C6" t="s">
        <v>244</v>
      </c>
      <c r="D6">
        <v>215</v>
      </c>
      <c r="E6">
        <v>3</v>
      </c>
      <c r="F6">
        <v>0.248727440999537</v>
      </c>
      <c r="G6">
        <v>12.0613953488372</v>
      </c>
      <c r="H6">
        <v>1.6001435047656701E-3</v>
      </c>
      <c r="I6" s="3">
        <v>0.11265010273550299</v>
      </c>
      <c r="J6" t="s">
        <v>245</v>
      </c>
      <c r="K6" t="s">
        <v>246</v>
      </c>
      <c r="L6">
        <f t="shared" si="0"/>
        <v>2.7958410670108749</v>
      </c>
    </row>
    <row r="7" spans="1:12" x14ac:dyDescent="0.3">
      <c r="A7" t="s">
        <v>247</v>
      </c>
      <c r="B7" t="s">
        <v>248</v>
      </c>
      <c r="C7" t="s">
        <v>249</v>
      </c>
      <c r="D7">
        <v>232</v>
      </c>
      <c r="E7">
        <v>3</v>
      </c>
      <c r="F7">
        <v>0.26839426191577898</v>
      </c>
      <c r="G7">
        <v>11.1775862068965</v>
      </c>
      <c r="H7">
        <v>1.9916692353213802E-3</v>
      </c>
      <c r="I7" s="3">
        <v>0.11684459513885399</v>
      </c>
      <c r="J7" t="s">
        <v>250</v>
      </c>
      <c r="K7" t="s">
        <v>251</v>
      </c>
      <c r="L7">
        <f t="shared" si="0"/>
        <v>2.7007827849897721</v>
      </c>
    </row>
    <row r="8" spans="1:12" x14ac:dyDescent="0.3">
      <c r="A8" t="s">
        <v>59</v>
      </c>
      <c r="B8" t="s">
        <v>60</v>
      </c>
      <c r="C8" t="s">
        <v>252</v>
      </c>
      <c r="D8">
        <v>94</v>
      </c>
      <c r="E8">
        <v>2</v>
      </c>
      <c r="F8">
        <v>0.108745950948634</v>
      </c>
      <c r="G8">
        <v>18.391489361702099</v>
      </c>
      <c r="H8">
        <v>4.9747197892414299E-3</v>
      </c>
      <c r="I8" s="3">
        <v>0.25015733797328299</v>
      </c>
      <c r="J8" t="s">
        <v>253</v>
      </c>
      <c r="K8" t="s">
        <v>254</v>
      </c>
      <c r="L8">
        <f t="shared" si="0"/>
        <v>2.3032313767099093</v>
      </c>
    </row>
    <row r="9" spans="1:12" x14ac:dyDescent="0.3">
      <c r="A9" t="s">
        <v>49</v>
      </c>
      <c r="B9" t="s">
        <v>50</v>
      </c>
      <c r="C9" t="s">
        <v>255</v>
      </c>
      <c r="D9">
        <v>114</v>
      </c>
      <c r="E9">
        <v>2</v>
      </c>
      <c r="F9">
        <v>0.131883387320684</v>
      </c>
      <c r="G9">
        <v>15.164912280701699</v>
      </c>
      <c r="H9">
        <v>7.2405997722531099E-3</v>
      </c>
      <c r="I9" s="3">
        <v>0.31275876892999599</v>
      </c>
      <c r="J9" t="s">
        <v>242</v>
      </c>
      <c r="K9" t="s">
        <v>243</v>
      </c>
      <c r="L9">
        <f t="shared" si="0"/>
        <v>2.1402254576990769</v>
      </c>
    </row>
    <row r="10" spans="1:12" x14ac:dyDescent="0.3">
      <c r="A10" t="s">
        <v>256</v>
      </c>
      <c r="B10" t="s">
        <v>257</v>
      </c>
      <c r="C10" t="s">
        <v>258</v>
      </c>
      <c r="D10">
        <v>120</v>
      </c>
      <c r="E10">
        <v>2</v>
      </c>
      <c r="F10">
        <v>0.138824618232299</v>
      </c>
      <c r="G10">
        <v>14.406666666666601</v>
      </c>
      <c r="H10">
        <v>7.9966730692328705E-3</v>
      </c>
      <c r="I10" s="3">
        <v>0.31275876892999599</v>
      </c>
      <c r="J10" t="s">
        <v>259</v>
      </c>
      <c r="K10" t="s">
        <v>260</v>
      </c>
      <c r="L10">
        <f t="shared" si="0"/>
        <v>2.0970906590321912</v>
      </c>
    </row>
    <row r="11" spans="1:12" x14ac:dyDescent="0.3">
      <c r="A11" t="s">
        <v>89</v>
      </c>
      <c r="B11" t="s">
        <v>90</v>
      </c>
      <c r="C11" t="s">
        <v>261</v>
      </c>
      <c r="D11">
        <v>139</v>
      </c>
      <c r="E11">
        <v>2</v>
      </c>
      <c r="F11">
        <v>0.16080518278574699</v>
      </c>
      <c r="G11">
        <v>12.4374100719424</v>
      </c>
      <c r="H11">
        <v>1.0616366916727399E-2</v>
      </c>
      <c r="I11" s="3">
        <v>0.37369611546880599</v>
      </c>
      <c r="J11" t="s">
        <v>242</v>
      </c>
      <c r="K11" t="s">
        <v>243</v>
      </c>
      <c r="L11">
        <f t="shared" si="0"/>
        <v>1.9740240800497701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4986-1FB9-43F4-8AC8-7BEE4CB6CC26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160</v>
      </c>
      <c r="B2" s="4" t="s">
        <v>161</v>
      </c>
      <c r="C2" t="s">
        <v>162</v>
      </c>
      <c r="D2">
        <v>108</v>
      </c>
      <c r="E2">
        <v>5</v>
      </c>
      <c r="F2">
        <v>0.11772186392951201</v>
      </c>
      <c r="G2">
        <v>42.472993827160401</v>
      </c>
      <c r="H2" s="2">
        <v>6.2075603218789797E-8</v>
      </c>
      <c r="I2" s="8">
        <v>1.23344223595735E-4</v>
      </c>
      <c r="J2" t="s">
        <v>262</v>
      </c>
      <c r="K2" s="4" t="s">
        <v>263</v>
      </c>
      <c r="L2" s="6">
        <f>-LOG(H2,10)</f>
        <v>7.2070790515024523</v>
      </c>
    </row>
    <row r="3" spans="1:12" x14ac:dyDescent="0.3">
      <c r="A3" t="s">
        <v>150</v>
      </c>
      <c r="B3" s="4" t="s">
        <v>151</v>
      </c>
      <c r="C3" t="s">
        <v>152</v>
      </c>
      <c r="D3">
        <v>787</v>
      </c>
      <c r="E3">
        <v>8</v>
      </c>
      <c r="F3">
        <v>0.85784358252338999</v>
      </c>
      <c r="G3">
        <v>9.3257094451503502</v>
      </c>
      <c r="H3" s="2">
        <v>2.5189563654830901E-7</v>
      </c>
      <c r="I3" s="8">
        <v>2.50258314910745E-4</v>
      </c>
      <c r="J3" t="s">
        <v>264</v>
      </c>
      <c r="K3" s="4" t="s">
        <v>265</v>
      </c>
      <c r="L3" s="6">
        <f t="shared" ref="L3:L11" si="0">-LOG(H3,10)</f>
        <v>6.598779355484834</v>
      </c>
    </row>
    <row r="4" spans="1:12" x14ac:dyDescent="0.3">
      <c r="A4" t="s">
        <v>145</v>
      </c>
      <c r="B4" s="4" t="s">
        <v>146</v>
      </c>
      <c r="C4" t="s">
        <v>147</v>
      </c>
      <c r="D4">
        <v>473</v>
      </c>
      <c r="E4">
        <v>6</v>
      </c>
      <c r="F4">
        <v>0.51557816332091899</v>
      </c>
      <c r="G4">
        <v>11.637420718815999</v>
      </c>
      <c r="H4" s="2">
        <v>4.51573809800934E-6</v>
      </c>
      <c r="I4" s="7">
        <v>2.9909238669148502E-3</v>
      </c>
      <c r="J4" t="s">
        <v>266</v>
      </c>
      <c r="K4" s="4" t="s">
        <v>267</v>
      </c>
      <c r="L4" s="6">
        <f t="shared" si="0"/>
        <v>5.3452712540561205</v>
      </c>
    </row>
    <row r="5" spans="1:12" x14ac:dyDescent="0.3">
      <c r="A5" t="s">
        <v>268</v>
      </c>
      <c r="B5" s="4" t="s">
        <v>269</v>
      </c>
      <c r="C5" t="s">
        <v>270</v>
      </c>
      <c r="D5">
        <v>77</v>
      </c>
      <c r="E5">
        <v>3</v>
      </c>
      <c r="F5">
        <v>8.3931328912707701E-2</v>
      </c>
      <c r="G5">
        <v>35.743506493506402</v>
      </c>
      <c r="H5" s="2">
        <v>6.9171005101383799E-5</v>
      </c>
      <c r="I5" s="7">
        <v>3.4360696784112403E-2</v>
      </c>
      <c r="J5" t="s">
        <v>271</v>
      </c>
      <c r="K5" s="4" t="s">
        <v>272</v>
      </c>
      <c r="L5" s="6">
        <f t="shared" si="0"/>
        <v>4.1600759136835661</v>
      </c>
    </row>
    <row r="6" spans="1:12" x14ac:dyDescent="0.3">
      <c r="A6" t="s">
        <v>273</v>
      </c>
      <c r="B6" s="4" t="s">
        <v>274</v>
      </c>
      <c r="C6" t="s">
        <v>275</v>
      </c>
      <c r="D6">
        <v>269</v>
      </c>
      <c r="E6">
        <v>4</v>
      </c>
      <c r="F6">
        <v>0.29321464256517299</v>
      </c>
      <c r="G6">
        <v>13.6418835192069</v>
      </c>
      <c r="H6" s="2">
        <v>1.4781779292194499E-4</v>
      </c>
      <c r="I6" s="3">
        <v>5.8742790907180903E-2</v>
      </c>
      <c r="J6" t="s">
        <v>276</v>
      </c>
      <c r="K6" s="4" t="s">
        <v>277</v>
      </c>
      <c r="L6">
        <f t="shared" si="0"/>
        <v>3.8302732864910918</v>
      </c>
    </row>
    <row r="7" spans="1:12" x14ac:dyDescent="0.3">
      <c r="A7" t="s">
        <v>278</v>
      </c>
      <c r="B7" t="s">
        <v>279</v>
      </c>
      <c r="C7" t="s">
        <v>280</v>
      </c>
      <c r="D7">
        <v>57</v>
      </c>
      <c r="E7">
        <v>2</v>
      </c>
      <c r="F7">
        <v>6.2130983740575803E-2</v>
      </c>
      <c r="G7">
        <v>32.190058479532098</v>
      </c>
      <c r="H7">
        <v>1.6814424825350499E-3</v>
      </c>
      <c r="I7" s="3">
        <v>0.55683770213285799</v>
      </c>
      <c r="J7" t="s">
        <v>281</v>
      </c>
      <c r="K7" t="s">
        <v>282</v>
      </c>
      <c r="L7">
        <f t="shared" si="0"/>
        <v>2.7743179841000893</v>
      </c>
    </row>
    <row r="8" spans="1:12" x14ac:dyDescent="0.3">
      <c r="A8" t="s">
        <v>283</v>
      </c>
      <c r="B8" t="s">
        <v>284</v>
      </c>
      <c r="C8" t="s">
        <v>285</v>
      </c>
      <c r="D8">
        <v>96</v>
      </c>
      <c r="E8">
        <v>2</v>
      </c>
      <c r="F8">
        <v>0.104641656826233</v>
      </c>
      <c r="G8">
        <v>19.1128472222222</v>
      </c>
      <c r="H8">
        <v>4.6920079016730103E-3</v>
      </c>
      <c r="I8" s="3">
        <v>1</v>
      </c>
      <c r="J8" t="s">
        <v>286</v>
      </c>
      <c r="K8" t="s">
        <v>287</v>
      </c>
      <c r="L8">
        <f t="shared" si="0"/>
        <v>2.3286412651732817</v>
      </c>
    </row>
    <row r="9" spans="1:12" x14ac:dyDescent="0.3">
      <c r="A9" t="s">
        <v>288</v>
      </c>
      <c r="B9" t="s">
        <v>289</v>
      </c>
      <c r="C9" t="s">
        <v>290</v>
      </c>
      <c r="D9">
        <v>5</v>
      </c>
      <c r="E9">
        <v>1</v>
      </c>
      <c r="F9">
        <v>5.4500862930329701E-3</v>
      </c>
      <c r="G9">
        <v>183.48333333333301</v>
      </c>
      <c r="H9">
        <v>5.4392039337127097E-3</v>
      </c>
      <c r="I9" s="3">
        <v>1</v>
      </c>
      <c r="J9">
        <v>6347</v>
      </c>
      <c r="K9" t="s">
        <v>291</v>
      </c>
      <c r="L9">
        <f t="shared" si="0"/>
        <v>2.2644646577456409</v>
      </c>
    </row>
    <row r="10" spans="1:12" x14ac:dyDescent="0.3">
      <c r="A10" t="s">
        <v>292</v>
      </c>
      <c r="B10" t="s">
        <v>293</v>
      </c>
      <c r="C10" t="s">
        <v>294</v>
      </c>
      <c r="D10">
        <v>5</v>
      </c>
      <c r="E10">
        <v>1</v>
      </c>
      <c r="F10">
        <v>5.4500862930329701E-3</v>
      </c>
      <c r="G10">
        <v>183.48333333333301</v>
      </c>
      <c r="H10">
        <v>5.4392039337127097E-3</v>
      </c>
      <c r="I10" s="3">
        <v>1</v>
      </c>
      <c r="J10">
        <v>629</v>
      </c>
      <c r="K10" t="s">
        <v>295</v>
      </c>
      <c r="L10">
        <f t="shared" si="0"/>
        <v>2.2644646577456409</v>
      </c>
    </row>
    <row r="11" spans="1:12" x14ac:dyDescent="0.3">
      <c r="A11" t="s">
        <v>296</v>
      </c>
      <c r="B11" t="s">
        <v>297</v>
      </c>
      <c r="C11" t="s">
        <v>298</v>
      </c>
      <c r="D11">
        <v>6</v>
      </c>
      <c r="E11">
        <v>1</v>
      </c>
      <c r="F11">
        <v>6.5401035516395598E-3</v>
      </c>
      <c r="G11">
        <v>152.902777777777</v>
      </c>
      <c r="H11">
        <v>6.5237849544497297E-3</v>
      </c>
      <c r="I11" s="3">
        <v>1</v>
      </c>
      <c r="J11">
        <v>6288</v>
      </c>
      <c r="K11" t="s">
        <v>299</v>
      </c>
      <c r="L11">
        <f t="shared" si="0"/>
        <v>2.1855003631797532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FF5A-2DC7-4619-A78D-96EA237791EF}">
  <dimension ref="A1:L11"/>
  <sheetViews>
    <sheetView workbookViewId="0">
      <selection sqref="A1:L11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155</v>
      </c>
      <c r="B2" s="4" t="s">
        <v>156</v>
      </c>
      <c r="C2" t="s">
        <v>157</v>
      </c>
      <c r="D2">
        <v>59</v>
      </c>
      <c r="E2">
        <v>8</v>
      </c>
      <c r="F2">
        <v>0.117903533472613</v>
      </c>
      <c r="G2">
        <v>67.852080123266504</v>
      </c>
      <c r="H2" s="2">
        <v>1.2537942317347599E-13</v>
      </c>
      <c r="I2" s="8">
        <v>2.4912891384569802E-10</v>
      </c>
      <c r="J2" t="s">
        <v>300</v>
      </c>
      <c r="K2" s="4" t="s">
        <v>301</v>
      </c>
      <c r="L2" s="6">
        <f>-LOG(H2,10)</f>
        <v>12.901773732528264</v>
      </c>
    </row>
    <row r="3" spans="1:12" x14ac:dyDescent="0.3">
      <c r="A3" t="s">
        <v>145</v>
      </c>
      <c r="B3" s="4" t="s">
        <v>146</v>
      </c>
      <c r="C3" t="s">
        <v>147</v>
      </c>
      <c r="D3">
        <v>473</v>
      </c>
      <c r="E3">
        <v>13</v>
      </c>
      <c r="F3">
        <v>0.94522663275501795</v>
      </c>
      <c r="G3">
        <v>13.7533153949644</v>
      </c>
      <c r="H3" s="2">
        <v>5.0493566152698396E-13</v>
      </c>
      <c r="I3" s="8">
        <v>5.0165357972705898E-10</v>
      </c>
      <c r="J3" t="s">
        <v>302</v>
      </c>
      <c r="K3" s="4" t="s">
        <v>303</v>
      </c>
      <c r="L3" s="6">
        <f t="shared" ref="L3:L11" si="0">-LOG(H3,10)</f>
        <v>12.296763955790036</v>
      </c>
    </row>
    <row r="4" spans="1:12" x14ac:dyDescent="0.3">
      <c r="A4" t="s">
        <v>140</v>
      </c>
      <c r="B4" s="4" t="s">
        <v>141</v>
      </c>
      <c r="C4" t="s">
        <v>142</v>
      </c>
      <c r="D4">
        <v>47</v>
      </c>
      <c r="E4">
        <v>7</v>
      </c>
      <c r="F4">
        <v>9.3923153783268196E-2</v>
      </c>
      <c r="G4">
        <v>74.5290135396518</v>
      </c>
      <c r="H4" s="2">
        <v>2.6344569303111598E-12</v>
      </c>
      <c r="I4" s="8">
        <v>1.7448886401760899E-9</v>
      </c>
      <c r="J4" t="s">
        <v>304</v>
      </c>
      <c r="K4" s="4" t="s">
        <v>305</v>
      </c>
      <c r="L4" s="6">
        <f t="shared" si="0"/>
        <v>11.579308897140955</v>
      </c>
    </row>
    <row r="5" spans="1:12" x14ac:dyDescent="0.3">
      <c r="A5" t="s">
        <v>150</v>
      </c>
      <c r="B5" s="4" t="s">
        <v>151</v>
      </c>
      <c r="C5" t="s">
        <v>152</v>
      </c>
      <c r="D5">
        <v>787</v>
      </c>
      <c r="E5">
        <v>14</v>
      </c>
      <c r="F5">
        <v>1.57271323462621</v>
      </c>
      <c r="G5">
        <v>8.9018135612798801</v>
      </c>
      <c r="H5" s="2">
        <v>1.5187801107421101E-11</v>
      </c>
      <c r="I5" s="8">
        <v>7.5445402001114805E-9</v>
      </c>
      <c r="J5" t="s">
        <v>306</v>
      </c>
      <c r="K5" s="4" t="s">
        <v>307</v>
      </c>
      <c r="L5" s="6">
        <f t="shared" si="0"/>
        <v>10.818505098819248</v>
      </c>
    </row>
    <row r="6" spans="1:12" x14ac:dyDescent="0.3">
      <c r="A6" t="s">
        <v>165</v>
      </c>
      <c r="B6" s="4" t="s">
        <v>166</v>
      </c>
      <c r="C6" t="s">
        <v>167</v>
      </c>
      <c r="D6">
        <v>201</v>
      </c>
      <c r="E6">
        <v>9</v>
      </c>
      <c r="F6">
        <v>0.40167135979653001</v>
      </c>
      <c r="G6">
        <v>22.406377204884599</v>
      </c>
      <c r="H6" s="2">
        <v>7.6369823865057702E-11</v>
      </c>
      <c r="I6" s="8">
        <v>3.0349368003973902E-8</v>
      </c>
      <c r="J6" t="s">
        <v>308</v>
      </c>
      <c r="K6" s="4" t="s">
        <v>309</v>
      </c>
      <c r="L6" s="6">
        <f t="shared" si="0"/>
        <v>10.117078211027906</v>
      </c>
    </row>
    <row r="7" spans="1:12" x14ac:dyDescent="0.3">
      <c r="A7" t="s">
        <v>180</v>
      </c>
      <c r="B7" s="4" t="s">
        <v>181</v>
      </c>
      <c r="C7" t="s">
        <v>182</v>
      </c>
      <c r="D7">
        <v>335</v>
      </c>
      <c r="E7">
        <v>9</v>
      </c>
      <c r="F7">
        <v>0.66945226632754995</v>
      </c>
      <c r="G7">
        <v>13.4438263229308</v>
      </c>
      <c r="H7" s="2">
        <v>7.0517395705707797E-9</v>
      </c>
      <c r="I7" s="8">
        <v>2.3353010877873499E-6</v>
      </c>
      <c r="J7" t="s">
        <v>308</v>
      </c>
      <c r="K7" s="4" t="s">
        <v>309</v>
      </c>
      <c r="L7" s="6">
        <f t="shared" si="0"/>
        <v>8.151703735106766</v>
      </c>
    </row>
    <row r="8" spans="1:12" x14ac:dyDescent="0.3">
      <c r="A8" t="s">
        <v>310</v>
      </c>
      <c r="B8" s="4" t="s">
        <v>311</v>
      </c>
      <c r="C8" t="s">
        <v>312</v>
      </c>
      <c r="D8">
        <v>318</v>
      </c>
      <c r="E8">
        <v>8</v>
      </c>
      <c r="F8">
        <v>0.63548006176764404</v>
      </c>
      <c r="G8">
        <v>12.5889079473985</v>
      </c>
      <c r="H8" s="2">
        <v>9.97345440894806E-8</v>
      </c>
      <c r="I8" s="8">
        <v>2.83103627293997E-5</v>
      </c>
      <c r="J8" t="s">
        <v>313</v>
      </c>
      <c r="K8" s="4" t="s">
        <v>314</v>
      </c>
      <c r="L8" s="6">
        <f t="shared" si="0"/>
        <v>7.0011543932526195</v>
      </c>
    </row>
    <row r="9" spans="1:12" x14ac:dyDescent="0.3">
      <c r="A9" t="s">
        <v>175</v>
      </c>
      <c r="B9" s="4" t="s">
        <v>176</v>
      </c>
      <c r="C9" t="s">
        <v>177</v>
      </c>
      <c r="D9">
        <v>468</v>
      </c>
      <c r="E9">
        <v>9</v>
      </c>
      <c r="F9">
        <v>0.93523480788445801</v>
      </c>
      <c r="G9">
        <v>9.6232517482517395</v>
      </c>
      <c r="H9" s="2">
        <v>1.2744654431378399E-7</v>
      </c>
      <c r="I9" s="8">
        <v>3.1654535443936197E-5</v>
      </c>
      <c r="J9" t="s">
        <v>308</v>
      </c>
      <c r="K9" s="4" t="s">
        <v>309</v>
      </c>
      <c r="L9" s="6">
        <f t="shared" si="0"/>
        <v>6.894671935838506</v>
      </c>
    </row>
    <row r="10" spans="1:12" x14ac:dyDescent="0.3">
      <c r="A10" t="s">
        <v>315</v>
      </c>
      <c r="B10" s="4" t="s">
        <v>316</v>
      </c>
      <c r="C10" t="s">
        <v>317</v>
      </c>
      <c r="D10">
        <v>45</v>
      </c>
      <c r="E10">
        <v>4</v>
      </c>
      <c r="F10">
        <v>8.9926423835043998E-2</v>
      </c>
      <c r="G10">
        <v>44.480808080808004</v>
      </c>
      <c r="H10" s="2">
        <v>1.68856725816668E-6</v>
      </c>
      <c r="I10" s="8">
        <v>3.7279812688635502E-4</v>
      </c>
      <c r="J10" t="s">
        <v>318</v>
      </c>
      <c r="K10" s="4" t="s">
        <v>319</v>
      </c>
      <c r="L10" s="6">
        <f t="shared" si="0"/>
        <v>5.7724816360834055</v>
      </c>
    </row>
    <row r="11" spans="1:12" x14ac:dyDescent="0.3">
      <c r="A11" t="s">
        <v>160</v>
      </c>
      <c r="B11" s="4" t="s">
        <v>161</v>
      </c>
      <c r="C11" t="s">
        <v>162</v>
      </c>
      <c r="D11">
        <v>108</v>
      </c>
      <c r="E11">
        <v>5</v>
      </c>
      <c r="F11">
        <v>0.215823417204105</v>
      </c>
      <c r="G11">
        <v>23.167087542087501</v>
      </c>
      <c r="H11" s="2">
        <v>1.9088094974449399E-6</v>
      </c>
      <c r="I11" s="8">
        <v>3.7928044714230898E-4</v>
      </c>
      <c r="J11" t="s">
        <v>320</v>
      </c>
      <c r="K11" s="4" t="s">
        <v>321</v>
      </c>
      <c r="L11" s="6">
        <f t="shared" si="0"/>
        <v>5.7192374127990115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D7F3-8535-460D-AF5A-7D9B9D12000F}">
  <dimension ref="A1:L11"/>
  <sheetViews>
    <sheetView tabSelected="1" workbookViewId="0">
      <selection activeCell="I12" sqref="I12"/>
    </sheetView>
  </sheetViews>
  <sheetFormatPr defaultRowHeight="14.4" x14ac:dyDescent="0.3"/>
  <sheetData>
    <row r="1" spans="1:12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Top="1" x14ac:dyDescent="0.3">
      <c r="A2" t="s">
        <v>49</v>
      </c>
      <c r="B2" s="4" t="s">
        <v>50</v>
      </c>
      <c r="C2" t="s">
        <v>322</v>
      </c>
      <c r="D2">
        <v>114</v>
      </c>
      <c r="E2">
        <v>12</v>
      </c>
      <c r="F2">
        <v>0.29014345210550602</v>
      </c>
      <c r="G2">
        <v>41.358851674641102</v>
      </c>
      <c r="H2" s="2">
        <v>8.8773567984282104E-18</v>
      </c>
      <c r="I2" s="8">
        <v>3.1248295930467299E-15</v>
      </c>
      <c r="J2" t="s">
        <v>323</v>
      </c>
      <c r="K2" s="4" t="s">
        <v>324</v>
      </c>
      <c r="L2" s="6">
        <f>-LOG(H2,10)</f>
        <v>17.051716324619591</v>
      </c>
    </row>
    <row r="3" spans="1:12" x14ac:dyDescent="0.3">
      <c r="A3" t="s">
        <v>59</v>
      </c>
      <c r="B3" s="4" t="s">
        <v>60</v>
      </c>
      <c r="C3" t="s">
        <v>325</v>
      </c>
      <c r="D3">
        <v>94</v>
      </c>
      <c r="E3">
        <v>9</v>
      </c>
      <c r="F3">
        <v>0.23924109208699601</v>
      </c>
      <c r="G3">
        <v>37.618955512572498</v>
      </c>
      <c r="H3" s="2">
        <v>6.3742247935162498E-13</v>
      </c>
      <c r="I3" s="8">
        <v>1.12186356365886E-10</v>
      </c>
      <c r="J3" t="s">
        <v>326</v>
      </c>
      <c r="K3" s="4" t="s">
        <v>327</v>
      </c>
      <c r="L3" s="6">
        <f t="shared" ref="L3:L11" si="0">-LOG(H3,10)</f>
        <v>12.195572624755883</v>
      </c>
    </row>
    <row r="4" spans="1:12" x14ac:dyDescent="0.3">
      <c r="A4" t="s">
        <v>328</v>
      </c>
      <c r="B4" s="4" t="s">
        <v>329</v>
      </c>
      <c r="C4" t="s">
        <v>330</v>
      </c>
      <c r="D4">
        <v>104</v>
      </c>
      <c r="E4">
        <v>9</v>
      </c>
      <c r="F4">
        <v>0.26469227209625101</v>
      </c>
      <c r="G4">
        <v>34.001748251748197</v>
      </c>
      <c r="H4" s="2">
        <v>1.62410378223571E-12</v>
      </c>
      <c r="I4" s="8">
        <v>1.9056151044899001E-10</v>
      </c>
      <c r="J4" t="s">
        <v>331</v>
      </c>
      <c r="K4" s="4" t="s">
        <v>332</v>
      </c>
      <c r="L4" s="6">
        <f t="shared" si="0"/>
        <v>11.789386222254832</v>
      </c>
    </row>
    <row r="5" spans="1:12" x14ac:dyDescent="0.3">
      <c r="A5" t="s">
        <v>94</v>
      </c>
      <c r="B5" s="4" t="s">
        <v>95</v>
      </c>
      <c r="C5" t="s">
        <v>333</v>
      </c>
      <c r="D5">
        <v>100</v>
      </c>
      <c r="E5">
        <v>8</v>
      </c>
      <c r="F5">
        <v>0.25451180009254898</v>
      </c>
      <c r="G5">
        <v>31.432727272727199</v>
      </c>
      <c r="H5" s="2">
        <v>6.7596183338285197E-11</v>
      </c>
      <c r="I5" s="8">
        <v>5.9484641337690997E-9</v>
      </c>
      <c r="J5" t="s">
        <v>300</v>
      </c>
      <c r="K5" s="4" t="s">
        <v>301</v>
      </c>
      <c r="L5" s="6">
        <f t="shared" si="0"/>
        <v>10.170077824796767</v>
      </c>
    </row>
    <row r="6" spans="1:12" x14ac:dyDescent="0.3">
      <c r="A6" t="s">
        <v>334</v>
      </c>
      <c r="B6" s="4" t="s">
        <v>335</v>
      </c>
      <c r="C6" t="s">
        <v>336</v>
      </c>
      <c r="D6">
        <v>192</v>
      </c>
      <c r="E6">
        <v>9</v>
      </c>
      <c r="F6">
        <v>0.488662656177695</v>
      </c>
      <c r="G6">
        <v>18.417613636363601</v>
      </c>
      <c r="H6" s="2">
        <v>4.2314314792145897E-10</v>
      </c>
      <c r="I6" s="8">
        <v>2.97892776136707E-8</v>
      </c>
      <c r="J6" t="s">
        <v>337</v>
      </c>
      <c r="K6" s="4" t="s">
        <v>338</v>
      </c>
      <c r="L6" s="6">
        <f t="shared" si="0"/>
        <v>9.3735126873873078</v>
      </c>
    </row>
    <row r="7" spans="1:12" x14ac:dyDescent="0.3">
      <c r="A7" t="s">
        <v>54</v>
      </c>
      <c r="B7" s="4" t="s">
        <v>55</v>
      </c>
      <c r="C7" t="s">
        <v>339</v>
      </c>
      <c r="D7">
        <v>93</v>
      </c>
      <c r="E7">
        <v>7</v>
      </c>
      <c r="F7">
        <v>0.23669597408607099</v>
      </c>
      <c r="G7">
        <v>29.573802541544399</v>
      </c>
      <c r="H7" s="2">
        <v>1.98538447250894E-9</v>
      </c>
      <c r="I7" s="8">
        <v>1.1647588905385801E-7</v>
      </c>
      <c r="J7" t="s">
        <v>340</v>
      </c>
      <c r="K7" s="4" t="s">
        <v>341</v>
      </c>
      <c r="L7" s="6">
        <f t="shared" si="0"/>
        <v>8.7021553790164177</v>
      </c>
    </row>
    <row r="8" spans="1:12" x14ac:dyDescent="0.3">
      <c r="A8" t="s">
        <v>342</v>
      </c>
      <c r="B8" s="4" t="s">
        <v>343</v>
      </c>
      <c r="C8" t="s">
        <v>344</v>
      </c>
      <c r="D8">
        <v>56</v>
      </c>
      <c r="E8">
        <v>6</v>
      </c>
      <c r="F8">
        <v>0.14252660805182699</v>
      </c>
      <c r="G8">
        <v>42.097402597402599</v>
      </c>
      <c r="H8" s="2">
        <v>3.8682350640833603E-9</v>
      </c>
      <c r="I8" s="8">
        <v>1.9451696322247701E-7</v>
      </c>
      <c r="J8" t="s">
        <v>345</v>
      </c>
      <c r="K8" s="4" t="s">
        <v>346</v>
      </c>
      <c r="L8" s="6">
        <f t="shared" si="0"/>
        <v>8.4124871426726866</v>
      </c>
    </row>
    <row r="9" spans="1:12" x14ac:dyDescent="0.3">
      <c r="A9" t="s">
        <v>74</v>
      </c>
      <c r="B9" s="4" t="s">
        <v>75</v>
      </c>
      <c r="C9" t="s">
        <v>347</v>
      </c>
      <c r="D9">
        <v>186</v>
      </c>
      <c r="E9">
        <v>8</v>
      </c>
      <c r="F9">
        <v>0.47339194817214197</v>
      </c>
      <c r="G9">
        <v>16.8993157380254</v>
      </c>
      <c r="H9" s="2">
        <v>9.7729397641253504E-9</v>
      </c>
      <c r="I9" s="8">
        <v>4.3000934962151502E-7</v>
      </c>
      <c r="J9" t="s">
        <v>348</v>
      </c>
      <c r="K9" s="4" t="s">
        <v>349</v>
      </c>
      <c r="L9" s="6">
        <f t="shared" si="0"/>
        <v>8.0099747780115109</v>
      </c>
    </row>
    <row r="10" spans="1:12" x14ac:dyDescent="0.3">
      <c r="A10" t="s">
        <v>350</v>
      </c>
      <c r="B10" s="4" t="s">
        <v>351</v>
      </c>
      <c r="C10" t="s">
        <v>352</v>
      </c>
      <c r="D10">
        <v>297</v>
      </c>
      <c r="E10">
        <v>9</v>
      </c>
      <c r="F10">
        <v>0.75590004627487195</v>
      </c>
      <c r="G10">
        <v>11.9063360881542</v>
      </c>
      <c r="H10" s="2">
        <v>1.9856918925857999E-8</v>
      </c>
      <c r="I10" s="8">
        <v>7.7662616243355798E-7</v>
      </c>
      <c r="J10" t="s">
        <v>353</v>
      </c>
      <c r="K10" s="4" t="s">
        <v>354</v>
      </c>
      <c r="L10" s="6">
        <f t="shared" si="0"/>
        <v>7.7020881373766201</v>
      </c>
    </row>
    <row r="11" spans="1:12" x14ac:dyDescent="0.3">
      <c r="A11" t="s">
        <v>64</v>
      </c>
      <c r="B11" s="4" t="s">
        <v>65</v>
      </c>
      <c r="C11" t="s">
        <v>355</v>
      </c>
      <c r="D11">
        <v>215</v>
      </c>
      <c r="E11">
        <v>8</v>
      </c>
      <c r="F11">
        <v>0.54720037019898105</v>
      </c>
      <c r="G11">
        <v>14.6198731501057</v>
      </c>
      <c r="H11" s="2">
        <v>3.0479673797905497E-8</v>
      </c>
      <c r="I11" s="8">
        <v>1.0728845176862701E-6</v>
      </c>
      <c r="J11" t="s">
        <v>356</v>
      </c>
      <c r="K11" s="4" t="s">
        <v>357</v>
      </c>
      <c r="L11" s="6">
        <f t="shared" si="0"/>
        <v>7.5159896852500117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PBS.v.FT240.KEGG-UP</vt:lpstr>
      <vt:lpstr>PBS.v.FT240.KEGG-DOWN</vt:lpstr>
      <vt:lpstr>PBS.v.FT240.RCT-UP</vt:lpstr>
      <vt:lpstr>PBS.v.FT240.RCT-DOWN</vt:lpstr>
      <vt:lpstr>FT240.v.OVCAR3.KEGG-UP</vt:lpstr>
      <vt:lpstr>FT240.v.OVCAR3.KEGG-DOWN</vt:lpstr>
      <vt:lpstr>FT240.v.OVCAR3.RCT-DOWN</vt:lpstr>
      <vt:lpstr>PBS.v.OVCAR3.RCT-DOWN</vt:lpstr>
      <vt:lpstr>PBS.v.OVCAR3.KEGG-DOWN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2024-10-08T17:33:59Z</dcterms:created>
  <dcterms:modified xsi:type="dcterms:W3CDTF">2024-10-08T18:22:45Z</dcterms:modified>
</cp:coreProperties>
</file>