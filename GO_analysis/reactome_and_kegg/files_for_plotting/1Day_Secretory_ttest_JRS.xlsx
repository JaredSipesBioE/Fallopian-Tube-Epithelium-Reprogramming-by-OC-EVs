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789s948\Dropbox\EV Treatment Manuscript\Kegg and GO Analysis Results\Reactome and Kegg Analyses from Mihaela\Files for plotting\"/>
    </mc:Choice>
  </mc:AlternateContent>
  <xr:revisionPtr revIDLastSave="0" documentId="8_{602971E2-3449-40DE-ABDE-E5D907B6BC0E}" xr6:coauthVersionLast="47" xr6:coauthVersionMax="47" xr10:uidLastSave="{00000000-0000-0000-0000-000000000000}"/>
  <bookViews>
    <workbookView xWindow="-28920" yWindow="-120" windowWidth="29040" windowHeight="15840" firstSheet="7" activeTab="11" xr2:uid="{05EB10D8-22F1-4014-8F8E-CA0A349A3AB5}"/>
  </bookViews>
  <sheets>
    <sheet name="PBS.v.FT240.KEGG-UP" sheetId="1" r:id="rId1"/>
    <sheet name="PBS.v.FT240.KEGG-DOWN" sheetId="2" r:id="rId2"/>
    <sheet name="PBS.v.FT240.RCT-UP" sheetId="3" r:id="rId3"/>
    <sheet name="PBS.v.FT240.RCT-DOWN" sheetId="4" r:id="rId4"/>
    <sheet name="FT240.v.OVCAR3.KEGG-UP" sheetId="5" r:id="rId5"/>
    <sheet name="FT240.v.OVCAR3.KEGG-DOWN" sheetId="6" r:id="rId6"/>
    <sheet name="FT240.v.OVCAR3.RCT-UP" sheetId="7" r:id="rId7"/>
    <sheet name="FT240.v.OVCAR3.RCT-DOWN" sheetId="8" r:id="rId8"/>
    <sheet name="PBS.v.OVCAR3.KEGG-UP" sheetId="9" r:id="rId9"/>
    <sheet name="PBS.v.OVCAR3.KEGG-DOWN" sheetId="10" r:id="rId10"/>
    <sheet name="PBS.v.OVCAR3.RCT-UP" sheetId="11" r:id="rId11"/>
    <sheet name="PBS.v.OVCAR3.RCT-DOWN" sheetId="12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1" i="12" l="1"/>
  <c r="L10" i="12"/>
  <c r="L9" i="12"/>
  <c r="L8" i="12"/>
  <c r="L7" i="12"/>
  <c r="L6" i="12"/>
  <c r="L5" i="12"/>
  <c r="L4" i="12"/>
  <c r="L3" i="12"/>
  <c r="L2" i="12"/>
  <c r="L11" i="11"/>
  <c r="L10" i="11"/>
  <c r="L9" i="11"/>
  <c r="L8" i="11"/>
  <c r="L7" i="11"/>
  <c r="L6" i="11"/>
  <c r="L5" i="11"/>
  <c r="L4" i="11"/>
  <c r="L3" i="11"/>
  <c r="L2" i="11"/>
  <c r="L11" i="10"/>
  <c r="L10" i="10"/>
  <c r="L9" i="10"/>
  <c r="L8" i="10"/>
  <c r="L7" i="10"/>
  <c r="L6" i="10"/>
  <c r="L5" i="10"/>
  <c r="L4" i="10"/>
  <c r="L3" i="10"/>
  <c r="L2" i="10"/>
  <c r="L11" i="9"/>
  <c r="L10" i="9"/>
  <c r="L9" i="9"/>
  <c r="L8" i="9"/>
  <c r="L7" i="9"/>
  <c r="L6" i="9"/>
  <c r="L5" i="9"/>
  <c r="L4" i="9"/>
  <c r="L3" i="9"/>
  <c r="L2" i="9"/>
  <c r="L11" i="8"/>
  <c r="L10" i="8"/>
  <c r="L9" i="8"/>
  <c r="L8" i="8"/>
  <c r="L7" i="8"/>
  <c r="L6" i="8"/>
  <c r="L5" i="8"/>
  <c r="L4" i="8"/>
  <c r="L3" i="8"/>
  <c r="L2" i="8"/>
  <c r="L11" i="7"/>
  <c r="L10" i="7"/>
  <c r="L9" i="7"/>
  <c r="L8" i="7"/>
  <c r="L7" i="7"/>
  <c r="L6" i="7"/>
  <c r="L5" i="7"/>
  <c r="L4" i="7"/>
  <c r="L3" i="7"/>
  <c r="L2" i="7"/>
  <c r="L11" i="6"/>
  <c r="L10" i="6"/>
  <c r="L9" i="6"/>
  <c r="L8" i="6"/>
  <c r="L7" i="6"/>
  <c r="L6" i="6"/>
  <c r="L5" i="6"/>
  <c r="L4" i="6"/>
  <c r="L3" i="6"/>
  <c r="L2" i="6"/>
  <c r="L11" i="5"/>
  <c r="L10" i="5"/>
  <c r="L9" i="5"/>
  <c r="L8" i="5"/>
  <c r="L7" i="5"/>
  <c r="L6" i="5"/>
  <c r="L5" i="5"/>
  <c r="L4" i="5"/>
  <c r="L3" i="5"/>
  <c r="L2" i="5"/>
  <c r="L11" i="4"/>
  <c r="L10" i="4"/>
  <c r="L9" i="4"/>
  <c r="L8" i="4"/>
  <c r="L7" i="4"/>
  <c r="L6" i="4"/>
  <c r="L5" i="4"/>
  <c r="L4" i="4"/>
  <c r="L3" i="4"/>
  <c r="L2" i="4"/>
  <c r="L11" i="3"/>
  <c r="L10" i="3"/>
  <c r="L9" i="3"/>
  <c r="L8" i="3"/>
  <c r="L7" i="3"/>
  <c r="L6" i="3"/>
  <c r="L5" i="3"/>
  <c r="L4" i="3"/>
  <c r="L3" i="3"/>
  <c r="L2" i="3"/>
  <c r="L11" i="2"/>
  <c r="L10" i="2"/>
  <c r="L9" i="2"/>
  <c r="L8" i="2"/>
  <c r="L7" i="2"/>
  <c r="L6" i="2"/>
  <c r="L5" i="2"/>
  <c r="L4" i="2"/>
  <c r="L3" i="2"/>
  <c r="L2" i="2"/>
  <c r="L11" i="1"/>
  <c r="L10" i="1"/>
  <c r="L9" i="1"/>
  <c r="L8" i="1"/>
  <c r="L7" i="1"/>
  <c r="L6" i="1"/>
  <c r="L5" i="1"/>
  <c r="L4" i="1"/>
  <c r="L3" i="1"/>
  <c r="L2" i="1"/>
</calcChain>
</file>

<file path=xl/sharedStrings.xml><?xml version="1.0" encoding="utf-8"?>
<sst xmlns="http://schemas.openxmlformats.org/spreadsheetml/2006/main" count="713" uniqueCount="417">
  <si>
    <t>geneSet</t>
  </si>
  <si>
    <t>description</t>
  </si>
  <si>
    <t>link</t>
  </si>
  <si>
    <t>size</t>
  </si>
  <si>
    <t>overlap</t>
  </si>
  <si>
    <t>expect</t>
  </si>
  <si>
    <t>enrichmentRatio</t>
  </si>
  <si>
    <t>pValue</t>
  </si>
  <si>
    <t>FDR</t>
  </si>
  <si>
    <t>overlapId</t>
  </si>
  <si>
    <t>userId</t>
  </si>
  <si>
    <t>significance</t>
  </si>
  <si>
    <t>hsa00500</t>
  </si>
  <si>
    <t>Starch and sucrose metabolism</t>
  </si>
  <si>
    <t>http://www.kegg.jp/kegg-bin/show_pathway?hsa00500+2821+3099</t>
  </si>
  <si>
    <t>2821;3099</t>
  </si>
  <si>
    <t>GPI;HK2</t>
  </si>
  <si>
    <t>hsa01250</t>
  </si>
  <si>
    <t>Biosynthesis of nucleotide sugars</t>
  </si>
  <si>
    <t>http://www.kegg.jp/kegg-bin/show_pathway?hsa01250+2821+3099</t>
  </si>
  <si>
    <t>hsa00520</t>
  </si>
  <si>
    <t>Amino sugar and nucleotide sugar metabolism</t>
  </si>
  <si>
    <t>http://www.kegg.jp/kegg-bin/show_pathway?hsa00520+2821+3099</t>
  </si>
  <si>
    <t>hsa00010</t>
  </si>
  <si>
    <t>Glycolysis / Gluconeogenesis</t>
  </si>
  <si>
    <t>http://www.kegg.jp/kegg-bin/show_pathway?hsa00010+2821+3099</t>
  </si>
  <si>
    <t>hsa00524</t>
  </si>
  <si>
    <t>Neomycin, kanamycin and gentamicin biosynthesis</t>
  </si>
  <si>
    <t>http://www.kegg.jp/kegg-bin/show_pathway?hsa00524+3099</t>
  </si>
  <si>
    <t>HK2</t>
  </si>
  <si>
    <t>hsa03260</t>
  </si>
  <si>
    <t>Virion</t>
  </si>
  <si>
    <t>http://www.kegg.jp/kegg-bin/show_pathway?hsa03260+7852</t>
  </si>
  <si>
    <t>CXCR4</t>
  </si>
  <si>
    <t>hsa01200</t>
  </si>
  <si>
    <t>Carbon metabolism</t>
  </si>
  <si>
    <t>http://www.kegg.jp/kegg-bin/show_pathway?hsa01200+2821+3099</t>
  </si>
  <si>
    <t>hsa05202</t>
  </si>
  <si>
    <t>Transcriptional misregulation in cancer</t>
  </si>
  <si>
    <t>http://www.kegg.jp/kegg-bin/show_pathway?hsa05202+10912+3398</t>
  </si>
  <si>
    <t>10912;3398</t>
  </si>
  <si>
    <t>ID2;GADD45G</t>
  </si>
  <si>
    <t>hsa05169</t>
  </si>
  <si>
    <t>Epstein-Barr virus infection</t>
  </si>
  <si>
    <t>http://www.kegg.jp/kegg-bin/show_pathway?hsa05169+10912+3665</t>
  </si>
  <si>
    <t>10912;3665</t>
  </si>
  <si>
    <t>GADD45G;IRF7</t>
  </si>
  <si>
    <t>hsa00030</t>
  </si>
  <si>
    <t>Pentose phosphate pathway</t>
  </si>
  <si>
    <t>http://www.kegg.jp/kegg-bin/show_pathway?hsa00030+2821</t>
  </si>
  <si>
    <t>GPI</t>
  </si>
  <si>
    <t>hsa04060</t>
  </si>
  <si>
    <t>Cytokine-cytokine receptor interaction</t>
  </si>
  <si>
    <t>http://www.kegg.jp/kegg-bin/show_pathway?hsa04060+1439+1441+282616+2829+2919+2920+3439+3576+3590+6347+6351+6359+6362+6364</t>
  </si>
  <si>
    <t>1439;1441;282616;2829;2919;2920;3439;3576;3590;6347;6351;6359;6362;6364</t>
  </si>
  <si>
    <t>CSF3R;CSF2RB;IL11RA;CCL4;IFNL2;CXCL1;IFNA1;XCR1;CCL15;CXCL8;CXCL2;CCL2;CCL20;CCL18</t>
  </si>
  <si>
    <t>hsa04061</t>
  </si>
  <si>
    <t>Viral protein interaction with cytokine and cytokine receptor</t>
  </si>
  <si>
    <t>http://www.kegg.jp/kegg-bin/show_pathway?hsa04061+2829+2919+2920+3576+6347+6351+6359+6362+6364</t>
  </si>
  <si>
    <t>2829;2919;2920;3576;6347;6351;6359;6362;6364</t>
  </si>
  <si>
    <t>CCL4;CXCL1;XCR1;CCL15;CXCL8;CXCL2;CCL2;CCL20;CCL18</t>
  </si>
  <si>
    <t>hsa04668</t>
  </si>
  <si>
    <t>TNF signaling pathway</t>
  </si>
  <si>
    <t>http://www.kegg.jp/kegg-bin/show_pathway?hsa04668+1540+2919+2920+3383+3659+6347+6364+9586</t>
  </si>
  <si>
    <t>1540;2919;2920;3383;3659;6347;6364;9586</t>
  </si>
  <si>
    <t>CYLD;IRF1;CXCL1;CREB5;ICAM1;CXCL2;CCL2;CCL20</t>
  </si>
  <si>
    <t>hsa04062</t>
  </si>
  <si>
    <t>Chemokine signaling pathway</t>
  </si>
  <si>
    <t>http://www.kegg.jp/kegg-bin/show_pathway?hsa04062+2829+2919+2920+3576+6347+6351+6359+6362+6364</t>
  </si>
  <si>
    <t>hsa05134</t>
  </si>
  <si>
    <t>Legionellosis</t>
  </si>
  <si>
    <t>http://www.kegg.jp/kegg-bin/show_pathway?hsa05134+2919+2920+3303+3310+3576+4791</t>
  </si>
  <si>
    <t>2919;2920;3303;3310;3576;4791</t>
  </si>
  <si>
    <t>HSPA1A;NFKB2;CXCL1;CXCL8;CXCL2;HSPA6</t>
  </si>
  <si>
    <t>hsa05417</t>
  </si>
  <si>
    <t>Lipid and atherosclerosis</t>
  </si>
  <si>
    <t>http://www.kegg.jp/kegg-bin/show_pathway?hsa05417+2919+2920+3303+3310+3383+3439+3576+6347+810</t>
  </si>
  <si>
    <t>2919;2920;3303;3310;3383;3439;3576;6347;810</t>
  </si>
  <si>
    <t>CALML3;HSPA1A;CXCL1;IFNA1;ICAM1;CXCL8;CXCL2;CCL2;HSPA6</t>
  </si>
  <si>
    <t>hsa04064</t>
  </si>
  <si>
    <t>NF-kappa B signaling pathway</t>
  </si>
  <si>
    <t>http://www.kegg.jp/kegg-bin/show_pathway?hsa04064+1540+2919+2920+3383+3576+4791+6351</t>
  </si>
  <si>
    <t>1540;2919;2920;3383;3576;4791;6351</t>
  </si>
  <si>
    <t>CYLD;CCL4;NFKB2;CXCL1;ICAM1;CXCL8;CXCL2</t>
  </si>
  <si>
    <t>hsa05323</t>
  </si>
  <si>
    <t>Rheumatoid arthritis</t>
  </si>
  <si>
    <t>http://www.kegg.jp/kegg-bin/show_pathway?hsa05323+2919+2920+3383+3576+6347+6364</t>
  </si>
  <si>
    <t>2919;2920;3383;3576;6347;6364</t>
  </si>
  <si>
    <t>CXCL1;ICAM1;CXCL8;CXCL2;CCL2;CCL20</t>
  </si>
  <si>
    <t>hsa04657</t>
  </si>
  <si>
    <t>IL-17 signaling pathway</t>
  </si>
  <si>
    <t>http://www.kegg.jp/kegg-bin/show_pathway?hsa04657+2919+2920+3576+6347+6364</t>
  </si>
  <si>
    <t>2919;2920;3576;6347;6364</t>
  </si>
  <si>
    <t>CXCL1;CXCL8;CXCL2;CCL2;CCL20</t>
  </si>
  <si>
    <t>hsa04625</t>
  </si>
  <si>
    <t>C-type lectin receptor signaling pathway</t>
  </si>
  <si>
    <t>http://www.kegg.jp/kegg-bin/show_pathway?hsa04625+1540+1959+3659+4791+810</t>
  </si>
  <si>
    <t>1540;1959;3659;4791;810</t>
  </si>
  <si>
    <t>CALML3;CYLD;EGR2;IRF1;NFKB2</t>
  </si>
  <si>
    <t>R-HSA-70171</t>
  </si>
  <si>
    <t>Glycolysis</t>
  </si>
  <si>
    <t>http://reactome.org/PathwayBrowser/#/R-HSA-70171</t>
  </si>
  <si>
    <t>R-HSA-909733</t>
  </si>
  <si>
    <t>Interferon alpha/beta signaling</t>
  </si>
  <si>
    <t>http://reactome.org/PathwayBrowser/#/R-HSA-909733</t>
  </si>
  <si>
    <t>3665;8519</t>
  </si>
  <si>
    <t>IFITM1;IRF7</t>
  </si>
  <si>
    <t>R-HSA-5628897</t>
  </si>
  <si>
    <t>TP53 Regulates Metabolic Genes</t>
  </si>
  <si>
    <t>http://reactome.org/PathwayBrowser/#/R-HSA-5628897</t>
  </si>
  <si>
    <t>2821;54541</t>
  </si>
  <si>
    <t>DDIT4;GPI</t>
  </si>
  <si>
    <t>R-HSA-70326</t>
  </si>
  <si>
    <t>Glucose metabolism</t>
  </si>
  <si>
    <t>http://reactome.org/PathwayBrowser/#/R-HSA-70326</t>
  </si>
  <si>
    <t>R-HSA-3700989</t>
  </si>
  <si>
    <t>Transcriptional Regulation by TP53</t>
  </si>
  <si>
    <t>http://reactome.org/PathwayBrowser/#/R-HSA-3700989</t>
  </si>
  <si>
    <t>2821;5430;54541</t>
  </si>
  <si>
    <t>DDIT4;GPI;POLR2A</t>
  </si>
  <si>
    <t>R-HSA-6799990</t>
  </si>
  <si>
    <t>Metal sequestration by antimicrobial proteins</t>
  </si>
  <si>
    <t>http://reactome.org/PathwayBrowser/#/R-HSA-6799990</t>
  </si>
  <si>
    <t>LCN2</t>
  </si>
  <si>
    <t>R-HSA-3134963</t>
  </si>
  <si>
    <t>DEx/H-box helicases activate type I IFN and inflammatory cytokines production</t>
  </si>
  <si>
    <t>http://reactome.org/PathwayBrowser/#/R-HSA-3134963</t>
  </si>
  <si>
    <t>IRF7</t>
  </si>
  <si>
    <t>R-HSA-162587</t>
  </si>
  <si>
    <t>HIV Life Cycle</t>
  </si>
  <si>
    <t>http://reactome.org/PathwayBrowser/#/R-HSA-162587</t>
  </si>
  <si>
    <t>5430;7852</t>
  </si>
  <si>
    <t>CXCR4;POLR2A</t>
  </si>
  <si>
    <t>R-HSA-9013973</t>
  </si>
  <si>
    <t>TICAM1-dependent activation of IRF3/IRF7</t>
  </si>
  <si>
    <t>http://reactome.org/PathwayBrowser/#/R-HSA-9013973</t>
  </si>
  <si>
    <t>R-HSA-9827857</t>
  </si>
  <si>
    <t>Specification of primordial germ cells</t>
  </si>
  <si>
    <t>http://reactome.org/PathwayBrowser/#/R-HSA-9827857</t>
  </si>
  <si>
    <t>R-HSA-1280215</t>
  </si>
  <si>
    <t>Cytokine Signaling in Immune system</t>
  </si>
  <si>
    <t>http://reactome.org/PathwayBrowser/#/R-HSA-1280215</t>
  </si>
  <si>
    <t>1439;1441;1958;282616;2919;2920;3303;3383;3439;3576;3590;3659;4791;6347;6351;6364;8767</t>
  </si>
  <si>
    <t>CSF3R;CSF2RB;IL11RA;IRF1;RIPK2;CCL4;HSPA1A;NFKB2;IFNL2;CXCL1;IFNA1;ICAM1;CXCL8;CXCL2;CCL2;CCL20;EGR1</t>
  </si>
  <si>
    <t>R-HSA-6783783</t>
  </si>
  <si>
    <t>Interleukin-10 signaling</t>
  </si>
  <si>
    <t>http://reactome.org/PathwayBrowser/#/R-HSA-6783783</t>
  </si>
  <si>
    <t>2919;2920;3383;3576;6347;6351;6364</t>
  </si>
  <si>
    <t>CCL4;CXCL1;ICAM1;CXCL8;CXCL2;CCL2;CCL20</t>
  </si>
  <si>
    <t>R-HSA-380108</t>
  </si>
  <si>
    <t>Chemokine receptors bind chemokines</t>
  </si>
  <si>
    <t>http://reactome.org/PathwayBrowser/#/R-HSA-380108</t>
  </si>
  <si>
    <t>2829;2919;2920;3576;6347;6351;6364</t>
  </si>
  <si>
    <t>CCL4;CXCL1;XCR1;CXCL8;CXCL2;CCL2;CCL20</t>
  </si>
  <si>
    <t>R-HSA-449147</t>
  </si>
  <si>
    <t>Signaling by Interleukins</t>
  </si>
  <si>
    <t>http://reactome.org/PathwayBrowser/#/R-HSA-449147</t>
  </si>
  <si>
    <t>1439;1441;282616;2919;2920;3383;3576;3590;4791;6347;6351;6364;8767</t>
  </si>
  <si>
    <t>CSF3R;CSF2RB;IL11RA;RIPK2;CCL4;NFKB2;IFNL2;CXCL1;ICAM1;CXCL8;CXCL2;CCL2;CCL20</t>
  </si>
  <si>
    <t>R-HSA-375276</t>
  </si>
  <si>
    <t>Peptide ligand-binding receptors</t>
  </si>
  <si>
    <t>http://reactome.org/PathwayBrowser/#/R-HSA-375276</t>
  </si>
  <si>
    <t>R-HSA-373076</t>
  </si>
  <si>
    <t>Class A/1 (Rhodopsin-like receptors)</t>
  </si>
  <si>
    <t>http://reactome.org/PathwayBrowser/#/R-HSA-373076</t>
  </si>
  <si>
    <t>R-HSA-500792</t>
  </si>
  <si>
    <t>GPCR ligand binding</t>
  </si>
  <si>
    <t>http://reactome.org/PathwayBrowser/#/R-HSA-500792</t>
  </si>
  <si>
    <t>R-HSA-446107</t>
  </si>
  <si>
    <t>Type I hemidesmosome assembly</t>
  </si>
  <si>
    <t>http://reactome.org/PathwayBrowser/#/R-HSA-446107</t>
  </si>
  <si>
    <t>3852;3861</t>
  </si>
  <si>
    <t>KRT14;KRT5</t>
  </si>
  <si>
    <t>R-HSA-168643</t>
  </si>
  <si>
    <t>Nucleotide-binding domain, leucine rich repeat containing receptor (NLR) signaling pathways</t>
  </si>
  <si>
    <t>http://reactome.org/PathwayBrowser/#/R-HSA-168643</t>
  </si>
  <si>
    <t>1540;4791;8767</t>
  </si>
  <si>
    <t>CYLD;RIPK2;NFKB2</t>
  </si>
  <si>
    <t>R-HSA-168249</t>
  </si>
  <si>
    <t>Innate Immune System</t>
  </si>
  <si>
    <t>http://reactome.org/PathwayBrowser/#/R-HSA-168249</t>
  </si>
  <si>
    <t>114790;1540;226;2919;3303;3310;3439;4791;721;8767</t>
  </si>
  <si>
    <t>ALDOA;C4B;CYLD;RIPK2;STK11IP;HSPA1A;NFKB2;CXCL1;IFNA1;HSPA6</t>
  </si>
  <si>
    <t>hsa04010</t>
  </si>
  <si>
    <t>MAPK signaling pathway</t>
  </si>
  <si>
    <t>http://www.kegg.jp/kegg-bin/show_pathway?hsa04010+10912+1969+2316+2318+3303+3310+4616</t>
  </si>
  <si>
    <t>10912;1969;2316;2318;3303;3310;4616</t>
  </si>
  <si>
    <t>HSPA6;FLNC;GADD45B;HSPA1A;EPHA2;GADD45G;FLNA</t>
  </si>
  <si>
    <t>hsa05216</t>
  </si>
  <si>
    <t>Thyroid cancer</t>
  </si>
  <si>
    <t>http://www.kegg.jp/kegg-bin/show_pathway?hsa05216+10912+4616+7849</t>
  </si>
  <si>
    <t>10912;4616;7849</t>
  </si>
  <si>
    <t>GADD45B;GADD45G;PAX8</t>
  </si>
  <si>
    <t>hsa05222</t>
  </si>
  <si>
    <t>Small cell lung cancer</t>
  </si>
  <si>
    <t>http://www.kegg.jp/kegg-bin/show_pathway?hsa05222+10912+3675+4616</t>
  </si>
  <si>
    <t>10912;3675;4616</t>
  </si>
  <si>
    <t>GADD45B;GADD45G;ITGA3</t>
  </si>
  <si>
    <t>http://www.kegg.jp/kegg-bin/show_pathway?hsa05202+10912+4616+7849</t>
  </si>
  <si>
    <t>hsa04510</t>
  </si>
  <si>
    <t>Focal adhesion</t>
  </si>
  <si>
    <t>http://www.kegg.jp/kegg-bin/show_pathway?hsa04510+2316+2318+3675</t>
  </si>
  <si>
    <t>2316;2318;3675</t>
  </si>
  <si>
    <t>FLNC;FLNA;ITGA3</t>
  </si>
  <si>
    <t>hsa05200</t>
  </si>
  <si>
    <t>Pathways in cancer</t>
  </si>
  <si>
    <t>http://www.kegg.jp/kegg-bin/show_pathway?hsa05200+10912+3675+4616+7849</t>
  </si>
  <si>
    <t>10912;3675;4616;7849</t>
  </si>
  <si>
    <t>GADD45B;GADD45G;PAX8;ITGA3</t>
  </si>
  <si>
    <t>http://www.kegg.jp/kegg-bin/show_pathway?hsa05134+3303+3310</t>
  </si>
  <si>
    <t>3303;3310</t>
  </si>
  <si>
    <t>HSPA6;HSPA1A</t>
  </si>
  <si>
    <t>hsa05213</t>
  </si>
  <si>
    <t>Endometrial cancer</t>
  </si>
  <si>
    <t>http://www.kegg.jp/kegg-bin/show_pathway?hsa05213+10912+4616</t>
  </si>
  <si>
    <t>10912;4616</t>
  </si>
  <si>
    <t>GADD45B;GADD45G</t>
  </si>
  <si>
    <t>hsa04213</t>
  </si>
  <si>
    <t>Longevity regulating pathway</t>
  </si>
  <si>
    <t>http://www.kegg.jp/kegg-bin/show_pathway?hsa04213+3303+3310</t>
  </si>
  <si>
    <t>hsa05217</t>
  </si>
  <si>
    <t>Basal cell carcinoma</t>
  </si>
  <si>
    <t>http://www.kegg.jp/kegg-bin/show_pathway?hsa05217+10912+4616</t>
  </si>
  <si>
    <t>hsa04115</t>
  </si>
  <si>
    <t>p53 signaling pathway</t>
  </si>
  <si>
    <t>http://www.kegg.jp/kegg-bin/show_pathway?hsa04115+3486</t>
  </si>
  <si>
    <t>IGFBP3</t>
  </si>
  <si>
    <t>hsa04610</t>
  </si>
  <si>
    <t>Complement and coagulation cascades</t>
  </si>
  <si>
    <t>http://www.kegg.jp/kegg-bin/show_pathway?hsa04610+629</t>
  </si>
  <si>
    <t>CFB</t>
  </si>
  <si>
    <t>hsa04976</t>
  </si>
  <si>
    <t>Bile secretion</t>
  </si>
  <si>
    <t>http://www.kegg.jp/kegg-bin/show_pathway?hsa04976+366</t>
  </si>
  <si>
    <t>AQP9</t>
  </si>
  <si>
    <t>http://www.kegg.jp/kegg-bin/show_pathway?hsa04657+3934</t>
  </si>
  <si>
    <t>hsa05150</t>
  </si>
  <si>
    <t>Staphylococcus aureus infection</t>
  </si>
  <si>
    <t>http://www.kegg.jp/kegg-bin/show_pathway?hsa05150+629</t>
  </si>
  <si>
    <t>hsa04935</t>
  </si>
  <si>
    <t>Growth hormone synthesis, secretion and action</t>
  </si>
  <si>
    <t>http://www.kegg.jp/kegg-bin/show_pathway?hsa04935+3486</t>
  </si>
  <si>
    <t>hsa04218</t>
  </si>
  <si>
    <t>Cellular senescence</t>
  </si>
  <si>
    <t>http://www.kegg.jp/kegg-bin/show_pathway?hsa04218+3486</t>
  </si>
  <si>
    <t>hsa04613</t>
  </si>
  <si>
    <t>Neutrophil extracellular trap formation</t>
  </si>
  <si>
    <t>http://www.kegg.jp/kegg-bin/show_pathway?hsa04613+366</t>
  </si>
  <si>
    <t>http://www.kegg.jp/kegg-bin/show_pathway?hsa05202+3486</t>
  </si>
  <si>
    <t>hsa05171</t>
  </si>
  <si>
    <t>Coronavirus disease</t>
  </si>
  <si>
    <t>http://www.kegg.jp/kegg-bin/show_pathway?hsa05171+629</t>
  </si>
  <si>
    <t>R-HSA-446353</t>
  </si>
  <si>
    <t>Cell-extracellular matrix interactions</t>
  </si>
  <si>
    <t>http://reactome.org/PathwayBrowser/#/R-HSA-446353</t>
  </si>
  <si>
    <t>2316;2318</t>
  </si>
  <si>
    <t>FLNC;FLNA</t>
  </si>
  <si>
    <t>R-HSA-3371453</t>
  </si>
  <si>
    <t>Regulation of HSF1-mediated heat shock response</t>
  </si>
  <si>
    <t>http://reactome.org/PathwayBrowser/#/R-HSA-3371453</t>
  </si>
  <si>
    <t>R-HSA-3371556</t>
  </si>
  <si>
    <t>Cellular response to heat stress</t>
  </si>
  <si>
    <t>http://reactome.org/PathwayBrowser/#/R-HSA-3371556</t>
  </si>
  <si>
    <t>R-HSA-446728</t>
  </si>
  <si>
    <t>Cell junction organization</t>
  </si>
  <si>
    <t>http://reactome.org/PathwayBrowser/#/R-HSA-446728</t>
  </si>
  <si>
    <t>R-HSA-1169410</t>
  </si>
  <si>
    <t>Antiviral mechanism by IFN-stimulated genes</t>
  </si>
  <si>
    <t>http://reactome.org/PathwayBrowser/#/R-HSA-1169410</t>
  </si>
  <si>
    <t>2316;3303</t>
  </si>
  <si>
    <t>HSPA1A;FLNA</t>
  </si>
  <si>
    <t>R-HSA-1500931</t>
  </si>
  <si>
    <t>Cell-Cell communication</t>
  </si>
  <si>
    <t>http://reactome.org/PathwayBrowser/#/R-HSA-1500931</t>
  </si>
  <si>
    <t>R-HSA-9761174</t>
  </si>
  <si>
    <t>Formation of intermediate mesoderm</t>
  </si>
  <si>
    <t>http://reactome.org/PathwayBrowser/#/R-HSA-9761174</t>
  </si>
  <si>
    <t>PAX8</t>
  </si>
  <si>
    <t>R-HSA-8983711</t>
  </si>
  <si>
    <t>OAS antiviral response</t>
  </si>
  <si>
    <t>http://reactome.org/PathwayBrowser/#/R-HSA-8983711</t>
  </si>
  <si>
    <t>FLNA</t>
  </si>
  <si>
    <t>R-HSA-430116</t>
  </si>
  <si>
    <t>GP1b-IX-V activation signalling</t>
  </si>
  <si>
    <t>http://reactome.org/PathwayBrowser/#/R-HSA-430116</t>
  </si>
  <si>
    <t>R-HSA-3371568</t>
  </si>
  <si>
    <t>Attenuation phase</t>
  </si>
  <si>
    <t>http://reactome.org/PathwayBrowser/#/R-HSA-3371568</t>
  </si>
  <si>
    <t>HSPA1A</t>
  </si>
  <si>
    <t>R-HSA-173736</t>
  </si>
  <si>
    <t>Alternative complement activation</t>
  </si>
  <si>
    <t>http://reactome.org/PathwayBrowser/#/R-HSA-173736</t>
  </si>
  <si>
    <t>R-HSA-174577</t>
  </si>
  <si>
    <t>Activation of C3 and C5</t>
  </si>
  <si>
    <t>http://reactome.org/PathwayBrowser/#/R-HSA-174577</t>
  </si>
  <si>
    <t>R-HSA-6803211</t>
  </si>
  <si>
    <t>TP53 Regulates Transcription of Death Receptors and Ligands</t>
  </si>
  <si>
    <t>http://reactome.org/PathwayBrowser/#/R-HSA-6803211</t>
  </si>
  <si>
    <t>R-HSA-432047</t>
  </si>
  <si>
    <t>Passive transport by Aquaporins</t>
  </si>
  <si>
    <t>http://reactome.org/PathwayBrowser/#/R-HSA-432047</t>
  </si>
  <si>
    <t>R-HSA-166663</t>
  </si>
  <si>
    <t>Initial triggering of complement</t>
  </si>
  <si>
    <t>http://reactome.org/PathwayBrowser/#/R-HSA-166663</t>
  </si>
  <si>
    <t>R-HSA-5633008</t>
  </si>
  <si>
    <t>TP53 Regulates Transcription of Cell Death Genes</t>
  </si>
  <si>
    <t>http://reactome.org/PathwayBrowser/#/R-HSA-5633008</t>
  </si>
  <si>
    <t>R-HSA-977606</t>
  </si>
  <si>
    <t>Regulation of Complement cascade</t>
  </si>
  <si>
    <t>http://reactome.org/PathwayBrowser/#/R-HSA-977606</t>
  </si>
  <si>
    <t>R-HSA-445717</t>
  </si>
  <si>
    <t>Aquaporin-mediated transport</t>
  </si>
  <si>
    <t>http://reactome.org/PathwayBrowser/#/R-HSA-445717</t>
  </si>
  <si>
    <t>R-HSA-166658</t>
  </si>
  <si>
    <t>Complement cascade</t>
  </si>
  <si>
    <t>http://reactome.org/PathwayBrowser/#/R-HSA-166658</t>
  </si>
  <si>
    <t>hsa04640</t>
  </si>
  <si>
    <t>Hematopoietic cell lineage</t>
  </si>
  <si>
    <t>http://www.kegg.jp/kegg-bin/show_pathway?hsa04640+100133941+1604+3675+928+960</t>
  </si>
  <si>
    <t>100133941;1604;3675;928;960</t>
  </si>
  <si>
    <t>CD55;ITGA3;CD24;CD9;CD44</t>
  </si>
  <si>
    <t>http://www.kegg.jp/kegg-bin/show_pathway?hsa05222+10912+3675+3911+4616</t>
  </si>
  <si>
    <t>10912;3675;3911;4616</t>
  </si>
  <si>
    <t>GADD45G;GADD45B;ITGA3;LAMA5</t>
  </si>
  <si>
    <t>http://www.kegg.jp/kegg-bin/show_pathway?hsa04510+2316+2318+3675+3911+60</t>
  </si>
  <si>
    <t>2316;2318;3675;3911;60</t>
  </si>
  <si>
    <t>FLNA;ITGA3;FLNC;LAMA5;ACTB</t>
  </si>
  <si>
    <t>hsa05205</t>
  </si>
  <si>
    <t>Proteoglycans in cancer</t>
  </si>
  <si>
    <t>http://www.kegg.jp/kegg-bin/show_pathway?hsa05205+2316+2318+60+6194+960</t>
  </si>
  <si>
    <t>2316;2318;60;6194;960</t>
  </si>
  <si>
    <t>FLNA;FLNC;RPS6;ACTB;CD44</t>
  </si>
  <si>
    <t>http://www.kegg.jp/kegg-bin/show_pathway?hsa00010+3945+5315+7167</t>
  </si>
  <si>
    <t>3945;5315;7167</t>
  </si>
  <si>
    <t>TPI1;PKM;LDHB</t>
  </si>
  <si>
    <t>hsa04512</t>
  </si>
  <si>
    <t>ECM-receptor interaction</t>
  </si>
  <si>
    <t>http://www.kegg.jp/kegg-bin/show_pathway?hsa04512+3675+3911+960</t>
  </si>
  <si>
    <t>3675;3911;960</t>
  </si>
  <si>
    <t>ITGA3;LAMA5;CD44</t>
  </si>
  <si>
    <t>http://www.kegg.jp/kegg-bin/show_pathway?hsa05169+10912+3665+4616+960</t>
  </si>
  <si>
    <t>10912;3665;4616;960</t>
  </si>
  <si>
    <t>GADD45G;GADD45B;IRF7;CD44</t>
  </si>
  <si>
    <t>hsa00051</t>
  </si>
  <si>
    <t>Fructose and mannose metabolism</t>
  </si>
  <si>
    <t>http://www.kegg.jp/kegg-bin/show_pathway?hsa00051+5209+7167</t>
  </si>
  <si>
    <t>5209;7167</t>
  </si>
  <si>
    <t>TPI1;PFKFB3</t>
  </si>
  <si>
    <t>hsa04066</t>
  </si>
  <si>
    <t>HIF-1 signaling pathway</t>
  </si>
  <si>
    <t>http://www.kegg.jp/kegg-bin/show_pathway?hsa04066+3945+5209+6194</t>
  </si>
  <si>
    <t>3945;5209;6194</t>
  </si>
  <si>
    <t>PFKFB3;RPS6;LDHB</t>
  </si>
  <si>
    <t>http://www.kegg.jp/kegg-bin/show_pathway?hsa05216+10912+4616</t>
  </si>
  <si>
    <t>GADD45G;GADD45B</t>
  </si>
  <si>
    <t>http://www.kegg.jp/kegg-bin/show_pathway?hsa04668+1435+1540+2919+2920+2921+3383+3553+3627+3976+4790+6347+6364+6374+7128+7185+7412+9586</t>
  </si>
  <si>
    <t>1435;1540;2919;2920;2921;3383;3553;3627;3976;4790;6347;6364;6374;7128;7185;7412;9586</t>
  </si>
  <si>
    <t>LIF;IL1B;TRAF1;CYLD;VCAM1;NFKB1;CSF1;CREB5;CXCL1;CXCL3;CCL20;TNFAIP3;ICAM1;CXCL5;CXCL2;CCL2;CXCL10</t>
  </si>
  <si>
    <t>http://www.kegg.jp/kegg-bin/show_pathway?hsa04061+1435+2829+2919+2920+2921+3576+3627+6347+6359+6362+6364+6373+6374</t>
  </si>
  <si>
    <t>1435;2829;2919;2920;2921;3576;3627;6347;6359;6362;6364;6373;6374</t>
  </si>
  <si>
    <t>CSF1;CXCL1;CXCL3;XCR1;CCL20;CXCL5;CCL15;CXCL11;CXCL2;CCL18;CXCL8;CCL2;CXCL10</t>
  </si>
  <si>
    <t>http://www.kegg.jp/kegg-bin/show_pathway?hsa04060+1435+1441+2829+2919+2920+2921+3553+3576+3590+3627+3976+6347+6359+6362+6364+6373+6374</t>
  </si>
  <si>
    <t>1435;1441;2829;2919;2920;2921;3553;3576;3590;3627;3976;6347;6359;6362;6364;6373;6374</t>
  </si>
  <si>
    <t>LIF;IL1B;CSF3R;CSF1;IL11RA;CXCL1;CXCL3;XCR1;CCL20;CXCL5;CCL15;CXCL11;CXCL2;CCL18;CXCL8;CCL2;CXCL10</t>
  </si>
  <si>
    <t>http://www.kegg.jp/kegg-bin/show_pathway?hsa04064+1540+2919+2920+2921+3383+3553+3576+4790+4791+7128+7185+7412</t>
  </si>
  <si>
    <t>1540;2919;2920;2921;3383;3553;3576;4790;4791;7128;7185;7412</t>
  </si>
  <si>
    <t>IL1B;TRAF1;CYLD;VCAM1;NFKB1;NFKB2;CXCL1;CXCL3;TNFAIP3;ICAM1;CXCL2;CXCL8</t>
  </si>
  <si>
    <t>http://www.kegg.jp/kegg-bin/show_pathway?hsa04657+2919+2920+2921+3553+3576+3627+4790+6347+6364+6374+7128</t>
  </si>
  <si>
    <t>2919;2920;2921;3553;3576;3627;4790;6347;6364;6374;7128</t>
  </si>
  <si>
    <t>IL1B;NFKB1;CXCL1;CXCL3;CCL20;TNFAIP3;CXCL5;CXCL2;CXCL8;CCL2;CXCL10</t>
  </si>
  <si>
    <t>http://www.kegg.jp/kegg-bin/show_pathway?hsa04062+2829+2919+2920+2921+3576+3627+4790+6347+6359+6362+6364+6373+6374</t>
  </si>
  <si>
    <t>2829;2919;2920;2921;3576;3627;4790;6347;6359;6362;6364;6373;6374</t>
  </si>
  <si>
    <t>NFKB1;CXCL1;CXCL3;XCR1;CCL20;CXCL5;CCL15;CXCL11;CXCL2;CCL18;CXCL8;CCL2;CXCL10</t>
  </si>
  <si>
    <t>http://www.kegg.jp/kegg-bin/show_pathway?hsa05323+1435+2919+2920+2921+3383+3553+3576+6347+6364+6374</t>
  </si>
  <si>
    <t>1435;2919;2920;2921;3383;3553;3576;6347;6364;6374</t>
  </si>
  <si>
    <t>IL1B;CSF1;CXCL1;CXCL3;CCL20;ICAM1;CXCL5;CXCL2;CXCL8;CCL2</t>
  </si>
  <si>
    <t>http://www.kegg.jp/kegg-bin/show_pathway?hsa05134+2919+2920+2921+3553+3576+4790+4791</t>
  </si>
  <si>
    <t>2919;2920;2921;3553;3576;4790;4791</t>
  </si>
  <si>
    <t>IL1B;NFKB1;NFKB2;CXCL1;CXCL3;CXCL2;CXCL8</t>
  </si>
  <si>
    <t>hsa04621</t>
  </si>
  <si>
    <t>NOD-like receptor signaling pathway</t>
  </si>
  <si>
    <t>http://www.kegg.jp/kegg-bin/show_pathway?hsa04621+2919+2920+2921+3553+3576+4790+6347+7128+8767</t>
  </si>
  <si>
    <t>2919;2920;2921;3553;3576;4790;6347;7128;8767</t>
  </si>
  <si>
    <t>IL1B;NFKB1;CXCL1;RIPK2;CXCL3;TNFAIP3;CXCL2;CXCL8;CCL2</t>
  </si>
  <si>
    <t>http://www.kegg.jp/kegg-bin/show_pathway?hsa05417+2919+2920+2921+3383+3553+3576+4790+6347+7412</t>
  </si>
  <si>
    <t>2919;2920;2921;3383;3553;3576;4790;6347;7412</t>
  </si>
  <si>
    <t>IL1B;VCAM1;NFKB1;CXCL1;CXCL3;ICAM1;CXCL2;CXCL8;CCL2</t>
  </si>
  <si>
    <t>2316;2318;60</t>
  </si>
  <si>
    <t>FLNA;FLNC;ACTB</t>
  </si>
  <si>
    <t>R-HSA-9031628</t>
  </si>
  <si>
    <t>NGF-stimulated transcription</t>
  </si>
  <si>
    <t>http://reactome.org/PathwayBrowser/#/R-HSA-9031628</t>
  </si>
  <si>
    <t>3398;6236;6446</t>
  </si>
  <si>
    <t>ID2;RRAD;SGK1</t>
  </si>
  <si>
    <t>R-HSA-9006934</t>
  </si>
  <si>
    <t>Signaling by Receptor Tyrosine Kinases</t>
  </si>
  <si>
    <t>http://reactome.org/PathwayBrowser/#/R-HSA-9006934</t>
  </si>
  <si>
    <t>3398;3675;3911;5430;60;6236;6446</t>
  </si>
  <si>
    <t>ID2;RRAD;ITGA3;SGK1;LAMA5;POLR2A;ACTB</t>
  </si>
  <si>
    <t>R-HSA-198725</t>
  </si>
  <si>
    <t>Nuclear Events (kinase and transcription factor activation)</t>
  </si>
  <si>
    <t>http://reactome.org/PathwayBrowser/#/R-HSA-198725</t>
  </si>
  <si>
    <t>R-HSA-913531</t>
  </si>
  <si>
    <t>Interferon Signaling</t>
  </si>
  <si>
    <t>http://reactome.org/PathwayBrowser/#/R-HSA-913531</t>
  </si>
  <si>
    <t>2316;3306;3665;8519;960</t>
  </si>
  <si>
    <t>FLNA;HSPA2;IRF7;IFITM1;CD44</t>
  </si>
  <si>
    <t>5209;5315;7167</t>
  </si>
  <si>
    <t>TPI1;PFKFB3;PKM</t>
  </si>
  <si>
    <t>R-HSA-3000157</t>
  </si>
  <si>
    <t>Laminin interactions</t>
  </si>
  <si>
    <t>http://reactome.org/PathwayBrowser/#/R-HSA-3000157</t>
  </si>
  <si>
    <t>3675;3911</t>
  </si>
  <si>
    <t>ITGA3;LAMA5</t>
  </si>
  <si>
    <t>R-HSA-8874081</t>
  </si>
  <si>
    <t>MET activates PTK2 signaling</t>
  </si>
  <si>
    <t>http://reactome.org/PathwayBrowser/#/R-HSA-8874081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</si>
</sst>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5A5A5"/>
      </patternFill>
    </fill>
  </fills>
  <borders count="2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7">
    <xf numFmtId="0" fontId="0" fillId="0" borderId="0" xfId="0"/>
    <xf numFmtId="0" fontId="1" fillId="2" borderId="1" xfId="1"/>
    <xf numFmtId="0" fontId="3" fillId="0" borderId="0" xfId="0" applyFont="1"/>
    <xf numFmtId="0" fontId="2" fillId="0" borderId="0" xfId="0" applyFont="1"/>
    <xf numFmtId="11" fontId="0" fillId="0" borderId="0" xfId="0" applyNumberFormat="1"/>
    <xf numFmtId="0" fontId="4" fillId="2" borderId="1" xfId="1" applyFont="1"/>
    <xf numFmtId="0" fontId="5" fillId="0" borderId="0" xfId="0" applyFont="1"/>
  </cellXfs>
  <cellStyles count="2">
    <cellStyle name="Check Cell" xfId="1" builtinId="2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D06EBC-4EE4-4F51-BC1A-87AC12C68D3B}">
  <dimension ref="A1:L11"/>
  <sheetViews>
    <sheetView workbookViewId="0">
      <selection sqref="A1:L11"/>
    </sheetView>
  </sheetViews>
  <sheetFormatPr defaultRowHeight="14.4" x14ac:dyDescent="0.3"/>
  <sheetData>
    <row r="1" spans="1:12" ht="15.6" thickTop="1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5" thickTop="1" x14ac:dyDescent="0.3">
      <c r="A2" t="s">
        <v>12</v>
      </c>
      <c r="B2" t="s">
        <v>13</v>
      </c>
      <c r="C2" t="s">
        <v>14</v>
      </c>
      <c r="D2">
        <v>36</v>
      </c>
      <c r="E2">
        <v>2</v>
      </c>
      <c r="F2">
        <v>5.4141601110596897E-2</v>
      </c>
      <c r="G2">
        <v>36.940170940170901</v>
      </c>
      <c r="H2">
        <v>1.27807015641702E-3</v>
      </c>
      <c r="I2" s="2">
        <v>0.23759243535487001</v>
      </c>
      <c r="J2" t="s">
        <v>15</v>
      </c>
      <c r="K2" t="s">
        <v>16</v>
      </c>
      <c r="L2">
        <f>-LOG(H2,10)</f>
        <v>2.8934453060301069</v>
      </c>
    </row>
    <row r="3" spans="1:12" x14ac:dyDescent="0.3">
      <c r="A3" t="s">
        <v>17</v>
      </c>
      <c r="B3" t="s">
        <v>18</v>
      </c>
      <c r="C3" t="s">
        <v>19</v>
      </c>
      <c r="D3">
        <v>37</v>
      </c>
      <c r="E3">
        <v>2</v>
      </c>
      <c r="F3">
        <v>5.5645534474780198E-2</v>
      </c>
      <c r="G3">
        <v>35.941787941787901</v>
      </c>
      <c r="H3">
        <v>1.3499570190617599E-3</v>
      </c>
      <c r="I3" s="2">
        <v>0.23759243535487001</v>
      </c>
      <c r="J3" t="s">
        <v>15</v>
      </c>
      <c r="K3" t="s">
        <v>16</v>
      </c>
      <c r="L3">
        <f t="shared" ref="L3:L11" si="0">-LOG(H3,10)</f>
        <v>2.8696800586764448</v>
      </c>
    </row>
    <row r="4" spans="1:12" x14ac:dyDescent="0.3">
      <c r="A4" t="s">
        <v>20</v>
      </c>
      <c r="B4" t="s">
        <v>21</v>
      </c>
      <c r="C4" t="s">
        <v>22</v>
      </c>
      <c r="D4">
        <v>49</v>
      </c>
      <c r="E4">
        <v>2</v>
      </c>
      <c r="F4">
        <v>7.3692734844979096E-2</v>
      </c>
      <c r="G4">
        <v>27.139717425431702</v>
      </c>
      <c r="H4">
        <v>2.3595677634269201E-3</v>
      </c>
      <c r="I4" s="2">
        <v>0.27685595090875897</v>
      </c>
      <c r="J4" t="s">
        <v>15</v>
      </c>
      <c r="K4" t="s">
        <v>16</v>
      </c>
      <c r="L4">
        <f t="shared" si="0"/>
        <v>2.6271675458227062</v>
      </c>
    </row>
    <row r="5" spans="1:12" x14ac:dyDescent="0.3">
      <c r="A5" t="s">
        <v>23</v>
      </c>
      <c r="B5" t="s">
        <v>24</v>
      </c>
      <c r="C5" t="s">
        <v>25</v>
      </c>
      <c r="D5">
        <v>67</v>
      </c>
      <c r="E5">
        <v>2</v>
      </c>
      <c r="F5">
        <v>0.10076353540027699</v>
      </c>
      <c r="G5">
        <v>19.848450057405199</v>
      </c>
      <c r="H5">
        <v>4.3690313471054501E-3</v>
      </c>
      <c r="I5" s="2">
        <v>0.38447475854528002</v>
      </c>
      <c r="J5" t="s">
        <v>15</v>
      </c>
      <c r="K5" t="s">
        <v>16</v>
      </c>
      <c r="L5">
        <f t="shared" si="0"/>
        <v>2.3596148392853769</v>
      </c>
    </row>
    <row r="6" spans="1:12" x14ac:dyDescent="0.3">
      <c r="A6" t="s">
        <v>26</v>
      </c>
      <c r="B6" t="s">
        <v>27</v>
      </c>
      <c r="C6" t="s">
        <v>28</v>
      </c>
      <c r="D6">
        <v>5</v>
      </c>
      <c r="E6">
        <v>1</v>
      </c>
      <c r="F6">
        <v>7.5196668209162399E-3</v>
      </c>
      <c r="G6">
        <v>132.98461538461501</v>
      </c>
      <c r="H6">
        <v>7.4988126704683697E-3</v>
      </c>
      <c r="I6" s="2">
        <v>0.43993034333414399</v>
      </c>
      <c r="J6">
        <v>3099</v>
      </c>
      <c r="K6" t="s">
        <v>29</v>
      </c>
      <c r="L6">
        <f t="shared" si="0"/>
        <v>2.1250074954729103</v>
      </c>
    </row>
    <row r="7" spans="1:12" x14ac:dyDescent="0.3">
      <c r="A7" t="s">
        <v>30</v>
      </c>
      <c r="B7" t="s">
        <v>31</v>
      </c>
      <c r="C7" t="s">
        <v>32</v>
      </c>
      <c r="D7">
        <v>5</v>
      </c>
      <c r="E7">
        <v>1</v>
      </c>
      <c r="F7">
        <v>7.5196668209162399E-3</v>
      </c>
      <c r="G7">
        <v>132.98461538461501</v>
      </c>
      <c r="H7">
        <v>7.4988126704683697E-3</v>
      </c>
      <c r="I7" s="2">
        <v>0.43993034333414399</v>
      </c>
      <c r="J7">
        <v>7852</v>
      </c>
      <c r="K7" t="s">
        <v>33</v>
      </c>
      <c r="L7">
        <f t="shared" si="0"/>
        <v>2.1250074954729103</v>
      </c>
    </row>
    <row r="8" spans="1:12" x14ac:dyDescent="0.3">
      <c r="A8" t="s">
        <v>34</v>
      </c>
      <c r="B8" t="s">
        <v>35</v>
      </c>
      <c r="C8" t="s">
        <v>36</v>
      </c>
      <c r="D8">
        <v>115</v>
      </c>
      <c r="E8">
        <v>2</v>
      </c>
      <c r="F8">
        <v>0.172952336881073</v>
      </c>
      <c r="G8">
        <v>11.563879598662201</v>
      </c>
      <c r="H8">
        <v>1.24367214362447E-2</v>
      </c>
      <c r="I8" s="2">
        <v>0.62538942079402005</v>
      </c>
      <c r="J8" t="s">
        <v>15</v>
      </c>
      <c r="K8" t="s">
        <v>16</v>
      </c>
      <c r="L8">
        <f t="shared" si="0"/>
        <v>1.9052940931025959</v>
      </c>
    </row>
    <row r="9" spans="1:12" x14ac:dyDescent="0.3">
      <c r="A9" t="s">
        <v>37</v>
      </c>
      <c r="B9" t="s">
        <v>38</v>
      </c>
      <c r="C9" t="s">
        <v>39</v>
      </c>
      <c r="D9">
        <v>193</v>
      </c>
      <c r="E9">
        <v>2</v>
      </c>
      <c r="F9">
        <v>0.29025913928736602</v>
      </c>
      <c r="G9">
        <v>6.8903945795137496</v>
      </c>
      <c r="H9">
        <v>3.290824230982E-2</v>
      </c>
      <c r="I9" s="2">
        <v>1</v>
      </c>
      <c r="J9" t="s">
        <v>40</v>
      </c>
      <c r="K9" t="s">
        <v>41</v>
      </c>
      <c r="L9">
        <f t="shared" si="0"/>
        <v>1.4826953135589174</v>
      </c>
    </row>
    <row r="10" spans="1:12" x14ac:dyDescent="0.3">
      <c r="A10" t="s">
        <v>42</v>
      </c>
      <c r="B10" t="s">
        <v>43</v>
      </c>
      <c r="C10" t="s">
        <v>44</v>
      </c>
      <c r="D10">
        <v>202</v>
      </c>
      <c r="E10">
        <v>2</v>
      </c>
      <c r="F10">
        <v>0.30379453956501601</v>
      </c>
      <c r="G10">
        <v>6.58339680121858</v>
      </c>
      <c r="H10">
        <v>3.5784169701145799E-2</v>
      </c>
      <c r="I10" s="2">
        <v>1</v>
      </c>
      <c r="J10" t="s">
        <v>45</v>
      </c>
      <c r="K10" t="s">
        <v>46</v>
      </c>
      <c r="L10">
        <f t="shared" si="0"/>
        <v>1.4463090552530038</v>
      </c>
    </row>
    <row r="11" spans="1:12" x14ac:dyDescent="0.3">
      <c r="A11" t="s">
        <v>47</v>
      </c>
      <c r="B11" t="s">
        <v>48</v>
      </c>
      <c r="C11" t="s">
        <v>49</v>
      </c>
      <c r="D11">
        <v>31</v>
      </c>
      <c r="E11">
        <v>1</v>
      </c>
      <c r="F11">
        <v>4.66219342896807E-2</v>
      </c>
      <c r="G11">
        <v>21.4491315136476</v>
      </c>
      <c r="H11">
        <v>4.5662831741517799E-2</v>
      </c>
      <c r="I11" s="2">
        <v>1</v>
      </c>
      <c r="J11">
        <v>2821</v>
      </c>
      <c r="K11" t="s">
        <v>50</v>
      </c>
      <c r="L11">
        <f t="shared" si="0"/>
        <v>1.3404371596092137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9F42C-5F47-4CEB-B3EF-B30C1E123968}">
  <dimension ref="A1:L11"/>
  <sheetViews>
    <sheetView workbookViewId="0">
      <selection activeCell="I27" sqref="I27"/>
    </sheetView>
  </sheetViews>
  <sheetFormatPr defaultRowHeight="14.4" x14ac:dyDescent="0.3"/>
  <sheetData>
    <row r="1" spans="1:12" ht="15.6" thickTop="1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5" thickTop="1" x14ac:dyDescent="0.3">
      <c r="A2" t="s">
        <v>51</v>
      </c>
      <c r="B2" s="3" t="s">
        <v>52</v>
      </c>
      <c r="C2" t="s">
        <v>53</v>
      </c>
      <c r="D2">
        <v>297</v>
      </c>
      <c r="E2">
        <v>14</v>
      </c>
      <c r="F2">
        <v>1.2025682554372901</v>
      </c>
      <c r="G2">
        <v>11.641750841750801</v>
      </c>
      <c r="H2" s="4">
        <v>2.8583513200565899E-12</v>
      </c>
      <c r="I2" s="4">
        <v>1.0061396646599201E-9</v>
      </c>
      <c r="J2" t="s">
        <v>54</v>
      </c>
      <c r="K2" s="3" t="s">
        <v>55</v>
      </c>
      <c r="L2">
        <f>-LOG(H2,10)</f>
        <v>11.543884393115029</v>
      </c>
    </row>
    <row r="3" spans="1:12" x14ac:dyDescent="0.3">
      <c r="A3" t="s">
        <v>56</v>
      </c>
      <c r="B3" s="3" t="s">
        <v>57</v>
      </c>
      <c r="C3" t="s">
        <v>58</v>
      </c>
      <c r="D3">
        <v>100</v>
      </c>
      <c r="E3">
        <v>9</v>
      </c>
      <c r="F3">
        <v>0.40490513651087401</v>
      </c>
      <c r="G3">
        <v>22.227428571428501</v>
      </c>
      <c r="H3" s="4">
        <v>1.4178666881786901E-10</v>
      </c>
      <c r="I3" s="4">
        <v>2.4954453711944899E-8</v>
      </c>
      <c r="J3" t="s">
        <v>59</v>
      </c>
      <c r="K3" s="3" t="s">
        <v>60</v>
      </c>
      <c r="L3">
        <f t="shared" ref="L3:L11" si="0">-LOG(H3,10)</f>
        <v>9.848364600824377</v>
      </c>
    </row>
    <row r="4" spans="1:12" x14ac:dyDescent="0.3">
      <c r="A4" t="s">
        <v>61</v>
      </c>
      <c r="B4" s="3" t="s">
        <v>62</v>
      </c>
      <c r="C4" t="s">
        <v>63</v>
      </c>
      <c r="D4">
        <v>114</v>
      </c>
      <c r="E4">
        <v>8</v>
      </c>
      <c r="F4">
        <v>0.46159185562239702</v>
      </c>
      <c r="G4">
        <v>17.331328320802001</v>
      </c>
      <c r="H4" s="4">
        <v>1.25023802358467E-8</v>
      </c>
      <c r="I4" s="4">
        <v>1.4669459476726799E-6</v>
      </c>
      <c r="J4" t="s">
        <v>64</v>
      </c>
      <c r="K4" s="3" t="s">
        <v>65</v>
      </c>
      <c r="L4">
        <f t="shared" si="0"/>
        <v>7.9030072970010519</v>
      </c>
    </row>
    <row r="5" spans="1:12" x14ac:dyDescent="0.3">
      <c r="A5" t="s">
        <v>66</v>
      </c>
      <c r="B5" s="3" t="s">
        <v>67</v>
      </c>
      <c r="C5" t="s">
        <v>68</v>
      </c>
      <c r="D5">
        <v>192</v>
      </c>
      <c r="E5">
        <v>9</v>
      </c>
      <c r="F5">
        <v>0.77741786210087904</v>
      </c>
      <c r="G5">
        <v>11.5767857142857</v>
      </c>
      <c r="H5" s="4">
        <v>4.6783444113612898E-8</v>
      </c>
      <c r="I5" s="4">
        <v>4.1169430819979397E-6</v>
      </c>
      <c r="J5" t="s">
        <v>59</v>
      </c>
      <c r="K5" s="3" t="s">
        <v>60</v>
      </c>
      <c r="L5">
        <f t="shared" si="0"/>
        <v>7.3299078093657224</v>
      </c>
    </row>
    <row r="6" spans="1:12" x14ac:dyDescent="0.3">
      <c r="A6" t="s">
        <v>69</v>
      </c>
      <c r="B6" s="3" t="s">
        <v>70</v>
      </c>
      <c r="C6" t="s">
        <v>71</v>
      </c>
      <c r="D6">
        <v>56</v>
      </c>
      <c r="E6">
        <v>6</v>
      </c>
      <c r="F6">
        <v>0.22674687644608901</v>
      </c>
      <c r="G6">
        <v>26.461224489795899</v>
      </c>
      <c r="H6" s="4">
        <v>7.8882545380729103E-8</v>
      </c>
      <c r="I6" s="4">
        <v>5.5533311948033202E-6</v>
      </c>
      <c r="J6" t="s">
        <v>72</v>
      </c>
      <c r="K6" s="3" t="s">
        <v>73</v>
      </c>
      <c r="L6">
        <f t="shared" si="0"/>
        <v>7.1030190840332548</v>
      </c>
    </row>
    <row r="7" spans="1:12" x14ac:dyDescent="0.3">
      <c r="A7" t="s">
        <v>74</v>
      </c>
      <c r="B7" s="3" t="s">
        <v>75</v>
      </c>
      <c r="C7" t="s">
        <v>76</v>
      </c>
      <c r="D7">
        <v>215</v>
      </c>
      <c r="E7">
        <v>9</v>
      </c>
      <c r="F7">
        <v>0.87054604349838005</v>
      </c>
      <c r="G7">
        <v>10.3383388704318</v>
      </c>
      <c r="H7" s="4">
        <v>1.24101661066559E-7</v>
      </c>
      <c r="I7" s="4">
        <v>7.2806307825714799E-6</v>
      </c>
      <c r="J7" t="s">
        <v>77</v>
      </c>
      <c r="K7" s="3" t="s">
        <v>78</v>
      </c>
      <c r="L7">
        <f t="shared" si="0"/>
        <v>6.906222405550321</v>
      </c>
    </row>
    <row r="8" spans="1:12" x14ac:dyDescent="0.3">
      <c r="A8" t="s">
        <v>79</v>
      </c>
      <c r="B8" s="3" t="s">
        <v>80</v>
      </c>
      <c r="C8" t="s">
        <v>81</v>
      </c>
      <c r="D8">
        <v>104</v>
      </c>
      <c r="E8">
        <v>7</v>
      </c>
      <c r="F8">
        <v>0.421101341971309</v>
      </c>
      <c r="G8">
        <v>16.623076923076901</v>
      </c>
      <c r="H8" s="4">
        <v>1.51835062765593E-7</v>
      </c>
      <c r="I8" s="4">
        <v>7.6351345847841103E-6</v>
      </c>
      <c r="J8" t="s">
        <v>82</v>
      </c>
      <c r="K8" s="3" t="s">
        <v>83</v>
      </c>
      <c r="L8">
        <f t="shared" si="0"/>
        <v>6.8186279266799552</v>
      </c>
    </row>
    <row r="9" spans="1:12" x14ac:dyDescent="0.3">
      <c r="A9" t="s">
        <v>84</v>
      </c>
      <c r="B9" s="3" t="s">
        <v>85</v>
      </c>
      <c r="C9" t="s">
        <v>86</v>
      </c>
      <c r="D9">
        <v>93</v>
      </c>
      <c r="E9">
        <v>6</v>
      </c>
      <c r="F9">
        <v>0.376561776955113</v>
      </c>
      <c r="G9">
        <v>15.9336405529953</v>
      </c>
      <c r="H9" s="4">
        <v>1.6641108846245301E-6</v>
      </c>
      <c r="I9" s="4">
        <v>7.3220878923479401E-5</v>
      </c>
      <c r="J9" t="s">
        <v>87</v>
      </c>
      <c r="K9" s="3" t="s">
        <v>88</v>
      </c>
      <c r="L9">
        <f t="shared" si="0"/>
        <v>5.7788177387567616</v>
      </c>
    </row>
    <row r="10" spans="1:12" x14ac:dyDescent="0.3">
      <c r="A10" t="s">
        <v>89</v>
      </c>
      <c r="B10" s="3" t="s">
        <v>90</v>
      </c>
      <c r="C10" t="s">
        <v>91</v>
      </c>
      <c r="D10">
        <v>94</v>
      </c>
      <c r="E10">
        <v>5</v>
      </c>
      <c r="F10">
        <v>0.38061082832022203</v>
      </c>
      <c r="G10">
        <v>13.1367781155015</v>
      </c>
      <c r="H10" s="4">
        <v>3.4270216627998101E-5</v>
      </c>
      <c r="I10">
        <v>1.3403462503394799E-3</v>
      </c>
      <c r="J10" t="s">
        <v>92</v>
      </c>
      <c r="K10" s="3" t="s">
        <v>93</v>
      </c>
      <c r="L10">
        <f t="shared" si="0"/>
        <v>4.4650831503105222</v>
      </c>
    </row>
    <row r="11" spans="1:12" x14ac:dyDescent="0.3">
      <c r="A11" t="s">
        <v>94</v>
      </c>
      <c r="B11" s="3" t="s">
        <v>95</v>
      </c>
      <c r="C11" t="s">
        <v>96</v>
      </c>
      <c r="D11">
        <v>104</v>
      </c>
      <c r="E11">
        <v>5</v>
      </c>
      <c r="F11">
        <v>0.421101341971309</v>
      </c>
      <c r="G11">
        <v>11.873626373626299</v>
      </c>
      <c r="H11" s="4">
        <v>5.5773158906898798E-5</v>
      </c>
      <c r="I11">
        <v>1.9632151935228301E-3</v>
      </c>
      <c r="J11" t="s">
        <v>97</v>
      </c>
      <c r="K11" s="3" t="s">
        <v>98</v>
      </c>
      <c r="L11">
        <f t="shared" si="0"/>
        <v>4.2535747570328564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47A31-3AAD-4788-B609-527A0CBD53AA}">
  <dimension ref="A1:L11"/>
  <sheetViews>
    <sheetView workbookViewId="0">
      <selection activeCell="P6" sqref="P6"/>
    </sheetView>
  </sheetViews>
  <sheetFormatPr defaultRowHeight="14.4" x14ac:dyDescent="0.3"/>
  <sheetData>
    <row r="1" spans="1:12" ht="15.6" thickTop="1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5" thickTop="1" x14ac:dyDescent="0.3">
      <c r="A2" t="s">
        <v>99</v>
      </c>
      <c r="B2" t="s">
        <v>100</v>
      </c>
      <c r="C2" t="s">
        <v>101</v>
      </c>
      <c r="D2">
        <v>73</v>
      </c>
      <c r="E2">
        <v>2</v>
      </c>
      <c r="F2">
        <v>7.9571259878281397E-2</v>
      </c>
      <c r="G2">
        <v>25.134703196347001</v>
      </c>
      <c r="H2">
        <v>2.7419956297944099E-3</v>
      </c>
      <c r="I2" s="2">
        <v>1</v>
      </c>
      <c r="J2" t="s">
        <v>15</v>
      </c>
      <c r="K2" t="s">
        <v>16</v>
      </c>
      <c r="L2">
        <f>-LOG(H2,10)</f>
        <v>2.5619332417265515</v>
      </c>
    </row>
    <row r="3" spans="1:12" x14ac:dyDescent="0.3">
      <c r="A3" t="s">
        <v>102</v>
      </c>
      <c r="B3" t="s">
        <v>103</v>
      </c>
      <c r="C3" t="s">
        <v>104</v>
      </c>
      <c r="D3">
        <v>77</v>
      </c>
      <c r="E3">
        <v>2</v>
      </c>
      <c r="F3">
        <v>8.3931328912707701E-2</v>
      </c>
      <c r="G3">
        <v>23.829004329004299</v>
      </c>
      <c r="H3">
        <v>3.0455370242781399E-3</v>
      </c>
      <c r="I3" s="2">
        <v>1</v>
      </c>
      <c r="J3" t="s">
        <v>105</v>
      </c>
      <c r="K3" t="s">
        <v>106</v>
      </c>
      <c r="L3">
        <f t="shared" ref="L3:L11" si="0">-LOG(H3,10)</f>
        <v>2.516336116457436</v>
      </c>
    </row>
    <row r="4" spans="1:12" x14ac:dyDescent="0.3">
      <c r="A4" t="s">
        <v>107</v>
      </c>
      <c r="B4" t="s">
        <v>108</v>
      </c>
      <c r="C4" t="s">
        <v>109</v>
      </c>
      <c r="D4">
        <v>87</v>
      </c>
      <c r="E4">
        <v>2</v>
      </c>
      <c r="F4">
        <v>9.4831501498773701E-2</v>
      </c>
      <c r="G4">
        <v>21.090038314176201</v>
      </c>
      <c r="H4">
        <v>3.8703287461087799E-3</v>
      </c>
      <c r="I4" s="2">
        <v>1</v>
      </c>
      <c r="J4" t="s">
        <v>110</v>
      </c>
      <c r="K4" t="s">
        <v>111</v>
      </c>
      <c r="L4">
        <f t="shared" si="0"/>
        <v>2.4122521443978173</v>
      </c>
    </row>
    <row r="5" spans="1:12" x14ac:dyDescent="0.3">
      <c r="A5" t="s">
        <v>112</v>
      </c>
      <c r="B5" t="s">
        <v>113</v>
      </c>
      <c r="C5" t="s">
        <v>114</v>
      </c>
      <c r="D5">
        <v>93</v>
      </c>
      <c r="E5">
        <v>2</v>
      </c>
      <c r="F5">
        <v>0.101371605050413</v>
      </c>
      <c r="G5">
        <v>19.729390681003501</v>
      </c>
      <c r="H5">
        <v>4.4098457719491304E-3</v>
      </c>
      <c r="I5" s="2">
        <v>1</v>
      </c>
      <c r="J5" t="s">
        <v>15</v>
      </c>
      <c r="K5" t="s">
        <v>16</v>
      </c>
      <c r="L5">
        <f t="shared" si="0"/>
        <v>2.3555765990951332</v>
      </c>
    </row>
    <row r="6" spans="1:12" x14ac:dyDescent="0.3">
      <c r="A6" t="s">
        <v>115</v>
      </c>
      <c r="B6" s="3" t="s">
        <v>116</v>
      </c>
      <c r="C6" t="s">
        <v>117</v>
      </c>
      <c r="D6">
        <v>362</v>
      </c>
      <c r="E6">
        <v>3</v>
      </c>
      <c r="F6">
        <v>0.39458624761558703</v>
      </c>
      <c r="G6">
        <v>7.6029005524861804</v>
      </c>
      <c r="H6">
        <v>6.2178721754976704E-3</v>
      </c>
      <c r="I6" s="2">
        <v>1</v>
      </c>
      <c r="J6" t="s">
        <v>118</v>
      </c>
      <c r="K6" s="3" t="s">
        <v>119</v>
      </c>
      <c r="L6">
        <f t="shared" si="0"/>
        <v>2.2063582102514343</v>
      </c>
    </row>
    <row r="7" spans="1:12" x14ac:dyDescent="0.3">
      <c r="A7" t="s">
        <v>120</v>
      </c>
      <c r="B7" t="s">
        <v>121</v>
      </c>
      <c r="C7" t="s">
        <v>122</v>
      </c>
      <c r="D7">
        <v>6</v>
      </c>
      <c r="E7">
        <v>1</v>
      </c>
      <c r="F7">
        <v>6.5401035516395598E-3</v>
      </c>
      <c r="G7">
        <v>152.902777777777</v>
      </c>
      <c r="H7">
        <v>6.5237849544497297E-3</v>
      </c>
      <c r="I7" s="2">
        <v>1</v>
      </c>
      <c r="J7">
        <v>3934</v>
      </c>
      <c r="K7" t="s">
        <v>123</v>
      </c>
      <c r="L7">
        <f t="shared" si="0"/>
        <v>2.1855003631797532</v>
      </c>
    </row>
    <row r="8" spans="1:12" x14ac:dyDescent="0.3">
      <c r="A8" t="s">
        <v>124</v>
      </c>
      <c r="B8" t="s">
        <v>125</v>
      </c>
      <c r="C8" t="s">
        <v>126</v>
      </c>
      <c r="D8">
        <v>7</v>
      </c>
      <c r="E8">
        <v>1</v>
      </c>
      <c r="F8">
        <v>7.6301208102461599E-3</v>
      </c>
      <c r="G8">
        <v>131.059523809523</v>
      </c>
      <c r="H8">
        <v>7.60728168992278E-3</v>
      </c>
      <c r="I8" s="2">
        <v>1</v>
      </c>
      <c r="J8">
        <v>3665</v>
      </c>
      <c r="K8" t="s">
        <v>127</v>
      </c>
      <c r="L8">
        <f t="shared" si="0"/>
        <v>2.1187705019631946</v>
      </c>
    </row>
    <row r="9" spans="1:12" x14ac:dyDescent="0.3">
      <c r="A9" t="s">
        <v>128</v>
      </c>
      <c r="B9" t="s">
        <v>129</v>
      </c>
      <c r="C9" t="s">
        <v>130</v>
      </c>
      <c r="D9">
        <v>149</v>
      </c>
      <c r="E9">
        <v>2</v>
      </c>
      <c r="F9">
        <v>0.16241257153238201</v>
      </c>
      <c r="G9">
        <v>12.314317673378</v>
      </c>
      <c r="H9">
        <v>1.0987065335620201E-2</v>
      </c>
      <c r="I9" s="2">
        <v>1</v>
      </c>
      <c r="J9" t="s">
        <v>131</v>
      </c>
      <c r="K9" t="s">
        <v>132</v>
      </c>
      <c r="L9">
        <f t="shared" si="0"/>
        <v>1.9591182929034396</v>
      </c>
    </row>
    <row r="10" spans="1:12" x14ac:dyDescent="0.3">
      <c r="A10" t="s">
        <v>133</v>
      </c>
      <c r="B10" t="s">
        <v>134</v>
      </c>
      <c r="C10" t="s">
        <v>135</v>
      </c>
      <c r="D10">
        <v>12</v>
      </c>
      <c r="E10">
        <v>1</v>
      </c>
      <c r="F10">
        <v>1.30802071032791E-2</v>
      </c>
      <c r="G10">
        <v>76.4513888888888</v>
      </c>
      <c r="H10">
        <v>1.30085355529077E-2</v>
      </c>
      <c r="I10" s="2">
        <v>1</v>
      </c>
      <c r="J10">
        <v>3665</v>
      </c>
      <c r="K10" t="s">
        <v>127</v>
      </c>
      <c r="L10">
        <f t="shared" si="0"/>
        <v>1.88577159176194</v>
      </c>
    </row>
    <row r="11" spans="1:12" x14ac:dyDescent="0.3">
      <c r="A11" t="s">
        <v>136</v>
      </c>
      <c r="B11" t="s">
        <v>137</v>
      </c>
      <c r="C11" t="s">
        <v>138</v>
      </c>
      <c r="D11">
        <v>12</v>
      </c>
      <c r="E11">
        <v>1</v>
      </c>
      <c r="F11">
        <v>1.30802071032791E-2</v>
      </c>
      <c r="G11">
        <v>76.4513888888888</v>
      </c>
      <c r="H11">
        <v>1.30085355529077E-2</v>
      </c>
      <c r="I11" s="2">
        <v>1</v>
      </c>
      <c r="J11">
        <v>7852</v>
      </c>
      <c r="K11" t="s">
        <v>33</v>
      </c>
      <c r="L11">
        <f t="shared" si="0"/>
        <v>1.88577159176194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4BFFB9-F61F-443D-9295-15E5AD30B449}">
  <dimension ref="A1:L11"/>
  <sheetViews>
    <sheetView workbookViewId="0">
      <selection activeCell="M32" sqref="M32"/>
    </sheetView>
  </sheetViews>
  <sheetFormatPr defaultRowHeight="14.4" x14ac:dyDescent="0.3"/>
  <sheetData>
    <row r="1" spans="1:12" ht="15.6" thickTop="1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5" t="s">
        <v>10</v>
      </c>
      <c r="L1" s="1" t="s">
        <v>11</v>
      </c>
    </row>
    <row r="2" spans="1:12" ht="15" thickTop="1" x14ac:dyDescent="0.3">
      <c r="A2" t="s">
        <v>139</v>
      </c>
      <c r="B2" s="3" t="s">
        <v>140</v>
      </c>
      <c r="C2" t="s">
        <v>141</v>
      </c>
      <c r="D2">
        <v>787</v>
      </c>
      <c r="E2">
        <v>17</v>
      </c>
      <c r="F2">
        <v>2.3590698519393198</v>
      </c>
      <c r="G2">
        <v>7.2062300257979999</v>
      </c>
      <c r="H2" s="4">
        <v>1.10542193821632E-11</v>
      </c>
      <c r="I2" s="4">
        <v>2.1964733912358301E-8</v>
      </c>
      <c r="J2" t="s">
        <v>142</v>
      </c>
      <c r="K2" s="3" t="s">
        <v>143</v>
      </c>
      <c r="L2">
        <f>-LOG(H2,10)</f>
        <v>10.956471920655503</v>
      </c>
    </row>
    <row r="3" spans="1:12" x14ac:dyDescent="0.3">
      <c r="A3" t="s">
        <v>144</v>
      </c>
      <c r="B3" s="3" t="s">
        <v>145</v>
      </c>
      <c r="C3" t="s">
        <v>146</v>
      </c>
      <c r="D3">
        <v>47</v>
      </c>
      <c r="E3">
        <v>7</v>
      </c>
      <c r="F3">
        <v>0.14088473067490201</v>
      </c>
      <c r="G3">
        <v>49.686009026434498</v>
      </c>
      <c r="H3" s="4">
        <v>6.3717678264172502E-11</v>
      </c>
      <c r="I3" s="4">
        <v>6.3303513355455394E-8</v>
      </c>
      <c r="J3" t="s">
        <v>147</v>
      </c>
      <c r="K3" s="3" t="s">
        <v>148</v>
      </c>
      <c r="L3">
        <f t="shared" ref="L3:L11" si="0">-LOG(H3,10)</f>
        <v>10.195740057344047</v>
      </c>
    </row>
    <row r="4" spans="1:12" x14ac:dyDescent="0.3">
      <c r="A4" t="s">
        <v>149</v>
      </c>
      <c r="B4" s="3" t="s">
        <v>150</v>
      </c>
      <c r="C4" t="s">
        <v>151</v>
      </c>
      <c r="D4">
        <v>59</v>
      </c>
      <c r="E4">
        <v>7</v>
      </c>
      <c r="F4">
        <v>0.17685530020891899</v>
      </c>
      <c r="G4">
        <v>39.580380071905402</v>
      </c>
      <c r="H4" s="4">
        <v>3.37133325700631E-10</v>
      </c>
      <c r="I4" s="4">
        <v>1.87072171240029E-7</v>
      </c>
      <c r="J4" t="s">
        <v>152</v>
      </c>
      <c r="K4" s="3" t="s">
        <v>153</v>
      </c>
      <c r="L4">
        <f t="shared" si="0"/>
        <v>9.472198315255568</v>
      </c>
    </row>
    <row r="5" spans="1:12" x14ac:dyDescent="0.3">
      <c r="A5" t="s">
        <v>154</v>
      </c>
      <c r="B5" s="3" t="s">
        <v>155</v>
      </c>
      <c r="C5" t="s">
        <v>156</v>
      </c>
      <c r="D5">
        <v>473</v>
      </c>
      <c r="E5">
        <v>13</v>
      </c>
      <c r="F5">
        <v>1.41783994913252</v>
      </c>
      <c r="G5">
        <v>9.1688769299762907</v>
      </c>
      <c r="H5" s="4">
        <v>3.7659219172627902E-10</v>
      </c>
      <c r="I5" s="4">
        <v>1.87072171240029E-7</v>
      </c>
      <c r="J5" t="s">
        <v>157</v>
      </c>
      <c r="K5" s="3" t="s">
        <v>158</v>
      </c>
      <c r="L5">
        <f t="shared" si="0"/>
        <v>9.4241286889007281</v>
      </c>
    </row>
    <row r="6" spans="1:12" x14ac:dyDescent="0.3">
      <c r="A6" t="s">
        <v>159</v>
      </c>
      <c r="B6" s="3" t="s">
        <v>160</v>
      </c>
      <c r="C6" t="s">
        <v>161</v>
      </c>
      <c r="D6">
        <v>201</v>
      </c>
      <c r="E6">
        <v>7</v>
      </c>
      <c r="F6">
        <v>0.60250703969479502</v>
      </c>
      <c r="G6">
        <v>11.618121513643899</v>
      </c>
      <c r="H6" s="4">
        <v>1.73996027689035E-6</v>
      </c>
      <c r="I6" s="4">
        <v>6.9146021403622502E-4</v>
      </c>
      <c r="J6" t="s">
        <v>152</v>
      </c>
      <c r="K6" s="3" t="s">
        <v>153</v>
      </c>
      <c r="L6">
        <f t="shared" si="0"/>
        <v>5.7594606665014503</v>
      </c>
    </row>
    <row r="7" spans="1:12" x14ac:dyDescent="0.3">
      <c r="A7" t="s">
        <v>162</v>
      </c>
      <c r="B7" s="3" t="s">
        <v>163</v>
      </c>
      <c r="C7" t="s">
        <v>164</v>
      </c>
      <c r="D7">
        <v>335</v>
      </c>
      <c r="E7">
        <v>7</v>
      </c>
      <c r="F7">
        <v>1.00417839949132</v>
      </c>
      <c r="G7">
        <v>6.9708729081863403</v>
      </c>
      <c r="H7" s="4">
        <v>4.8982827716534398E-5</v>
      </c>
      <c r="I7">
        <v>1.6221479778792298E-2</v>
      </c>
      <c r="J7" t="s">
        <v>152</v>
      </c>
      <c r="K7" s="3" t="s">
        <v>153</v>
      </c>
      <c r="L7">
        <f t="shared" si="0"/>
        <v>4.3099561472178509</v>
      </c>
    </row>
    <row r="8" spans="1:12" x14ac:dyDescent="0.3">
      <c r="A8" t="s">
        <v>165</v>
      </c>
      <c r="B8" s="3" t="s">
        <v>166</v>
      </c>
      <c r="C8" t="s">
        <v>167</v>
      </c>
      <c r="D8">
        <v>468</v>
      </c>
      <c r="E8">
        <v>7</v>
      </c>
      <c r="F8">
        <v>1.40285221182668</v>
      </c>
      <c r="G8">
        <v>4.9898342398342397</v>
      </c>
      <c r="H8" s="4">
        <v>3.9137845858014202E-4</v>
      </c>
      <c r="I8">
        <v>0.111095571028391</v>
      </c>
      <c r="J8" t="s">
        <v>152</v>
      </c>
      <c r="K8" s="3" t="s">
        <v>153</v>
      </c>
      <c r="L8">
        <f t="shared" si="0"/>
        <v>3.4074030815324621</v>
      </c>
    </row>
    <row r="9" spans="1:12" x14ac:dyDescent="0.3">
      <c r="A9" t="s">
        <v>168</v>
      </c>
      <c r="B9" t="s">
        <v>169</v>
      </c>
      <c r="C9" t="s">
        <v>170</v>
      </c>
      <c r="D9">
        <v>11</v>
      </c>
      <c r="E9">
        <v>2</v>
      </c>
      <c r="F9">
        <v>3.2973022072849398E-2</v>
      </c>
      <c r="G9">
        <v>60.655647382920101</v>
      </c>
      <c r="H9" s="4">
        <v>4.7122626183638199E-4</v>
      </c>
      <c r="I9">
        <v>0.117040822783611</v>
      </c>
      <c r="J9" t="s">
        <v>171</v>
      </c>
      <c r="K9" t="s">
        <v>172</v>
      </c>
      <c r="L9">
        <f t="shared" si="0"/>
        <v>3.3267705139492993</v>
      </c>
    </row>
    <row r="10" spans="1:12" x14ac:dyDescent="0.3">
      <c r="A10" t="s">
        <v>173</v>
      </c>
      <c r="B10" s="3" t="s">
        <v>174</v>
      </c>
      <c r="C10" t="s">
        <v>175</v>
      </c>
      <c r="D10">
        <v>57</v>
      </c>
      <c r="E10">
        <v>3</v>
      </c>
      <c r="F10">
        <v>0.17086020528658299</v>
      </c>
      <c r="G10">
        <v>17.558213716108401</v>
      </c>
      <c r="H10" s="4">
        <v>6.4308084567375105E-4</v>
      </c>
      <c r="I10">
        <v>0.14197796003930499</v>
      </c>
      <c r="J10" t="s">
        <v>176</v>
      </c>
      <c r="K10" s="3" t="s">
        <v>177</v>
      </c>
      <c r="L10">
        <f t="shared" si="0"/>
        <v>3.1917344257959899</v>
      </c>
    </row>
    <row r="11" spans="1:12" x14ac:dyDescent="0.3">
      <c r="A11" t="s">
        <v>178</v>
      </c>
      <c r="B11" s="3" t="s">
        <v>179</v>
      </c>
      <c r="C11" t="s">
        <v>180</v>
      </c>
      <c r="D11">
        <v>1068</v>
      </c>
      <c r="E11">
        <v>10</v>
      </c>
      <c r="F11">
        <v>3.2013806885275602</v>
      </c>
      <c r="G11">
        <v>3.12365225286573</v>
      </c>
      <c r="H11" s="4">
        <v>8.17395186218674E-4</v>
      </c>
      <c r="I11">
        <v>0.16241642350165</v>
      </c>
      <c r="J11" t="s">
        <v>181</v>
      </c>
      <c r="K11" s="3" t="s">
        <v>182</v>
      </c>
      <c r="L11">
        <f t="shared" si="0"/>
        <v>3.0875679242520526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C11D8-D728-4801-87F5-9FBADECD5A1A}">
  <dimension ref="A1:L11"/>
  <sheetViews>
    <sheetView workbookViewId="0">
      <selection activeCell="H20" sqref="H20"/>
    </sheetView>
  </sheetViews>
  <sheetFormatPr defaultRowHeight="14.4" x14ac:dyDescent="0.3"/>
  <sheetData>
    <row r="1" spans="1:12" ht="15.6" thickTop="1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5" thickTop="1" x14ac:dyDescent="0.3">
      <c r="A2" t="s">
        <v>183</v>
      </c>
      <c r="B2" s="3" t="s">
        <v>184</v>
      </c>
      <c r="C2" t="s">
        <v>185</v>
      </c>
      <c r="D2">
        <v>301</v>
      </c>
      <c r="E2">
        <v>7</v>
      </c>
      <c r="F2">
        <v>0.31339657565941598</v>
      </c>
      <c r="G2">
        <v>22.3359173126615</v>
      </c>
      <c r="H2" s="4">
        <v>1.96580909862444E-9</v>
      </c>
      <c r="I2" s="4">
        <v>6.9196480271580299E-7</v>
      </c>
      <c r="J2" t="s">
        <v>186</v>
      </c>
      <c r="K2" s="3" t="s">
        <v>187</v>
      </c>
      <c r="L2" s="6">
        <f>-LOG(H2,10)</f>
        <v>8.7064586591587485</v>
      </c>
    </row>
    <row r="3" spans="1:12" x14ac:dyDescent="0.3">
      <c r="A3" t="s">
        <v>188</v>
      </c>
      <c r="B3" s="3" t="s">
        <v>189</v>
      </c>
      <c r="C3" t="s">
        <v>190</v>
      </c>
      <c r="D3">
        <v>37</v>
      </c>
      <c r="E3">
        <v>3</v>
      </c>
      <c r="F3">
        <v>3.8523831559463199E-2</v>
      </c>
      <c r="G3">
        <v>77.873873873873805</v>
      </c>
      <c r="H3" s="4">
        <v>5.9588017701078797E-6</v>
      </c>
      <c r="I3">
        <v>1.04874911153898E-3</v>
      </c>
      <c r="J3" t="s">
        <v>191</v>
      </c>
      <c r="K3" s="3" t="s">
        <v>192</v>
      </c>
      <c r="L3" s="6">
        <f t="shared" ref="L3:L11" si="0">-LOG(H3,10)</f>
        <v>5.2248410618952743</v>
      </c>
    </row>
    <row r="4" spans="1:12" x14ac:dyDescent="0.3">
      <c r="A4" t="s">
        <v>193</v>
      </c>
      <c r="B4" s="3" t="s">
        <v>194</v>
      </c>
      <c r="C4" t="s">
        <v>195</v>
      </c>
      <c r="D4">
        <v>92</v>
      </c>
      <c r="E4">
        <v>3</v>
      </c>
      <c r="F4">
        <v>9.5788986580286895E-2</v>
      </c>
      <c r="G4">
        <v>31.318840579710098</v>
      </c>
      <c r="H4" s="4">
        <v>9.3577624490363598E-5</v>
      </c>
      <c r="I4">
        <v>1.0979774606869301E-2</v>
      </c>
      <c r="J4" t="s">
        <v>196</v>
      </c>
      <c r="K4" s="3" t="s">
        <v>197</v>
      </c>
      <c r="L4" s="6">
        <f t="shared" si="0"/>
        <v>4.0288279837625751</v>
      </c>
    </row>
    <row r="5" spans="1:12" x14ac:dyDescent="0.3">
      <c r="A5" t="s">
        <v>37</v>
      </c>
      <c r="B5" s="3" t="s">
        <v>38</v>
      </c>
      <c r="C5" t="s">
        <v>198</v>
      </c>
      <c r="D5">
        <v>193</v>
      </c>
      <c r="E5">
        <v>3</v>
      </c>
      <c r="F5">
        <v>0.200948634891254</v>
      </c>
      <c r="G5">
        <v>14.9291882556131</v>
      </c>
      <c r="H5" s="4">
        <v>8.3360443535762403E-4</v>
      </c>
      <c r="I5" s="2">
        <v>5.7512407783416902E-2</v>
      </c>
      <c r="J5" t="s">
        <v>191</v>
      </c>
      <c r="K5" s="3" t="s">
        <v>192</v>
      </c>
      <c r="L5">
        <f t="shared" si="0"/>
        <v>3.0790399832885322</v>
      </c>
    </row>
    <row r="6" spans="1:12" x14ac:dyDescent="0.3">
      <c r="A6" t="s">
        <v>199</v>
      </c>
      <c r="B6" s="3" t="s">
        <v>200</v>
      </c>
      <c r="C6" t="s">
        <v>201</v>
      </c>
      <c r="D6">
        <v>203</v>
      </c>
      <c r="E6">
        <v>3</v>
      </c>
      <c r="F6">
        <v>0.21136048125867599</v>
      </c>
      <c r="G6">
        <v>14.1937602627257</v>
      </c>
      <c r="H6" s="4">
        <v>9.6565935698065695E-4</v>
      </c>
      <c r="I6" s="2">
        <v>5.7512407783416902E-2</v>
      </c>
      <c r="J6" t="s">
        <v>202</v>
      </c>
      <c r="K6" s="3" t="s">
        <v>203</v>
      </c>
      <c r="L6">
        <f t="shared" si="0"/>
        <v>3.0151760469528837</v>
      </c>
    </row>
    <row r="7" spans="1:12" x14ac:dyDescent="0.3">
      <c r="A7" t="s">
        <v>204</v>
      </c>
      <c r="B7" s="3" t="s">
        <v>205</v>
      </c>
      <c r="C7" t="s">
        <v>206</v>
      </c>
      <c r="D7">
        <v>531</v>
      </c>
      <c r="E7">
        <v>4</v>
      </c>
      <c r="F7">
        <v>0.55286904211013399</v>
      </c>
      <c r="G7">
        <v>7.2349863988281999</v>
      </c>
      <c r="H7">
        <v>1.3838880648451E-3</v>
      </c>
      <c r="I7" s="2">
        <v>5.7512407783416902E-2</v>
      </c>
      <c r="J7" t="s">
        <v>207</v>
      </c>
      <c r="K7" s="3" t="s">
        <v>208</v>
      </c>
      <c r="L7">
        <f t="shared" si="0"/>
        <v>2.8588990361697695</v>
      </c>
    </row>
    <row r="8" spans="1:12" x14ac:dyDescent="0.3">
      <c r="A8" t="s">
        <v>69</v>
      </c>
      <c r="B8" t="s">
        <v>70</v>
      </c>
      <c r="C8" t="s">
        <v>209</v>
      </c>
      <c r="D8">
        <v>56</v>
      </c>
      <c r="E8">
        <v>2</v>
      </c>
      <c r="F8">
        <v>5.8306339657565903E-2</v>
      </c>
      <c r="G8">
        <v>34.301587301587297</v>
      </c>
      <c r="H8">
        <v>1.4414520139095399E-3</v>
      </c>
      <c r="I8" s="2">
        <v>5.7512407783416902E-2</v>
      </c>
      <c r="J8" t="s">
        <v>210</v>
      </c>
      <c r="K8" t="s">
        <v>211</v>
      </c>
      <c r="L8">
        <f t="shared" si="0"/>
        <v>2.841199810744504</v>
      </c>
    </row>
    <row r="9" spans="1:12" x14ac:dyDescent="0.3">
      <c r="A9" t="s">
        <v>212</v>
      </c>
      <c r="B9" t="s">
        <v>213</v>
      </c>
      <c r="C9" t="s">
        <v>214</v>
      </c>
      <c r="D9">
        <v>58</v>
      </c>
      <c r="E9">
        <v>2</v>
      </c>
      <c r="F9">
        <v>6.0388708931050403E-2</v>
      </c>
      <c r="G9">
        <v>33.118773946360101</v>
      </c>
      <c r="H9">
        <v>1.54554864957117E-3</v>
      </c>
      <c r="I9" s="2">
        <v>5.7512407783416902E-2</v>
      </c>
      <c r="J9" t="s">
        <v>215</v>
      </c>
      <c r="K9" t="s">
        <v>216</v>
      </c>
      <c r="L9">
        <f t="shared" si="0"/>
        <v>2.8109173200036048</v>
      </c>
    </row>
    <row r="10" spans="1:12" x14ac:dyDescent="0.3">
      <c r="A10" t="s">
        <v>217</v>
      </c>
      <c r="B10" t="s">
        <v>218</v>
      </c>
      <c r="C10" t="s">
        <v>219</v>
      </c>
      <c r="D10">
        <v>61</v>
      </c>
      <c r="E10">
        <v>2</v>
      </c>
      <c r="F10">
        <v>6.3512262841277103E-2</v>
      </c>
      <c r="G10">
        <v>31.489981785063701</v>
      </c>
      <c r="H10">
        <v>1.7082696350205599E-3</v>
      </c>
      <c r="I10" s="2">
        <v>5.7512407783416902E-2</v>
      </c>
      <c r="J10" t="s">
        <v>210</v>
      </c>
      <c r="K10" t="s">
        <v>211</v>
      </c>
      <c r="L10">
        <f t="shared" si="0"/>
        <v>2.7674435787527512</v>
      </c>
    </row>
    <row r="11" spans="1:12" x14ac:dyDescent="0.3">
      <c r="A11" t="s">
        <v>220</v>
      </c>
      <c r="B11" t="s">
        <v>221</v>
      </c>
      <c r="C11" t="s">
        <v>222</v>
      </c>
      <c r="D11">
        <v>63</v>
      </c>
      <c r="E11">
        <v>2</v>
      </c>
      <c r="F11">
        <v>6.5594632114761603E-2</v>
      </c>
      <c r="G11">
        <v>30.490299823633102</v>
      </c>
      <c r="H11">
        <v>1.8211171752853599E-3</v>
      </c>
      <c r="I11" s="2">
        <v>5.7512407783416902E-2</v>
      </c>
      <c r="J11" t="s">
        <v>215</v>
      </c>
      <c r="K11" t="s">
        <v>216</v>
      </c>
      <c r="L11">
        <f t="shared" si="0"/>
        <v>2.7396621097005975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86FD0-A7BC-45D0-8027-A4E1A6E44A13}">
  <dimension ref="A1:L11"/>
  <sheetViews>
    <sheetView workbookViewId="0">
      <selection activeCell="Q16" sqref="Q16"/>
    </sheetView>
  </sheetViews>
  <sheetFormatPr defaultRowHeight="14.4" x14ac:dyDescent="0.3"/>
  <sheetData>
    <row r="1" spans="1:12" ht="15.6" thickTop="1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5" thickTop="1" x14ac:dyDescent="0.3">
      <c r="A2" t="s">
        <v>223</v>
      </c>
      <c r="B2" t="s">
        <v>224</v>
      </c>
      <c r="C2" t="s">
        <v>225</v>
      </c>
      <c r="D2">
        <v>74</v>
      </c>
      <c r="E2">
        <v>1</v>
      </c>
      <c r="F2">
        <v>3.42434058306339E-2</v>
      </c>
      <c r="G2">
        <v>29.202702702702702</v>
      </c>
      <c r="H2">
        <v>3.3811973557515897E-2</v>
      </c>
      <c r="I2" s="2">
        <v>1</v>
      </c>
      <c r="J2">
        <v>3486</v>
      </c>
      <c r="K2" t="s">
        <v>226</v>
      </c>
      <c r="L2">
        <f>-LOG(H2,10)</f>
        <v>1.4709294793340719</v>
      </c>
    </row>
    <row r="3" spans="1:12" x14ac:dyDescent="0.3">
      <c r="A3" t="s">
        <v>227</v>
      </c>
      <c r="B3" t="s">
        <v>228</v>
      </c>
      <c r="C3" t="s">
        <v>229</v>
      </c>
      <c r="D3">
        <v>86</v>
      </c>
      <c r="E3">
        <v>1</v>
      </c>
      <c r="F3">
        <v>3.9796390559925898E-2</v>
      </c>
      <c r="G3">
        <v>25.1279069767441</v>
      </c>
      <c r="H3">
        <v>3.9213116341579701E-2</v>
      </c>
      <c r="I3" s="2">
        <v>1</v>
      </c>
      <c r="J3">
        <v>629</v>
      </c>
      <c r="K3" t="s">
        <v>230</v>
      </c>
      <c r="L3">
        <f t="shared" ref="L3:L11" si="0">-LOG(H3,10)</f>
        <v>1.4065686421126642</v>
      </c>
    </row>
    <row r="4" spans="1:12" x14ac:dyDescent="0.3">
      <c r="A4" t="s">
        <v>231</v>
      </c>
      <c r="B4" t="s">
        <v>232</v>
      </c>
      <c r="C4" t="s">
        <v>233</v>
      </c>
      <c r="D4">
        <v>89</v>
      </c>
      <c r="E4">
        <v>1</v>
      </c>
      <c r="F4">
        <v>4.1184636742248898E-2</v>
      </c>
      <c r="G4">
        <v>24.2808988764044</v>
      </c>
      <c r="H4">
        <v>4.05598563283859E-2</v>
      </c>
      <c r="I4" s="2">
        <v>1</v>
      </c>
      <c r="J4">
        <v>366</v>
      </c>
      <c r="K4" t="s">
        <v>234</v>
      </c>
      <c r="L4">
        <f t="shared" si="0"/>
        <v>1.391903592035167</v>
      </c>
    </row>
    <row r="5" spans="1:12" x14ac:dyDescent="0.3">
      <c r="A5" t="s">
        <v>89</v>
      </c>
      <c r="B5" t="s">
        <v>90</v>
      </c>
      <c r="C5" t="s">
        <v>235</v>
      </c>
      <c r="D5">
        <v>94</v>
      </c>
      <c r="E5">
        <v>1</v>
      </c>
      <c r="F5">
        <v>4.3498380379453902E-2</v>
      </c>
      <c r="G5">
        <v>22.989361702127599</v>
      </c>
      <c r="H5">
        <v>4.2801276140753602E-2</v>
      </c>
      <c r="I5" s="2">
        <v>1</v>
      </c>
      <c r="J5">
        <v>3934</v>
      </c>
      <c r="K5" t="s">
        <v>123</v>
      </c>
      <c r="L5">
        <f t="shared" si="0"/>
        <v>1.3685432820937167</v>
      </c>
    </row>
    <row r="6" spans="1:12" x14ac:dyDescent="0.3">
      <c r="A6" t="s">
        <v>236</v>
      </c>
      <c r="B6" t="s">
        <v>237</v>
      </c>
      <c r="C6" t="s">
        <v>238</v>
      </c>
      <c r="D6">
        <v>96</v>
      </c>
      <c r="E6">
        <v>1</v>
      </c>
      <c r="F6">
        <v>4.4423877834335899E-2</v>
      </c>
      <c r="G6">
        <v>22.5104166666666</v>
      </c>
      <c r="H6">
        <v>4.3696743532208898E-2</v>
      </c>
      <c r="I6" s="2">
        <v>1</v>
      </c>
      <c r="J6">
        <v>629</v>
      </c>
      <c r="K6" t="s">
        <v>230</v>
      </c>
      <c r="L6">
        <f t="shared" si="0"/>
        <v>1.3595509273016473</v>
      </c>
    </row>
    <row r="7" spans="1:12" x14ac:dyDescent="0.3">
      <c r="A7" t="s">
        <v>239</v>
      </c>
      <c r="B7" t="s">
        <v>240</v>
      </c>
      <c r="C7" t="s">
        <v>241</v>
      </c>
      <c r="D7">
        <v>120</v>
      </c>
      <c r="E7">
        <v>1</v>
      </c>
      <c r="F7">
        <v>5.5529847292919897E-2</v>
      </c>
      <c r="G7">
        <v>18.008333333333301</v>
      </c>
      <c r="H7">
        <v>5.4393418367634103E-2</v>
      </c>
      <c r="I7" s="2">
        <v>1</v>
      </c>
      <c r="J7">
        <v>3486</v>
      </c>
      <c r="K7" t="s">
        <v>226</v>
      </c>
      <c r="L7">
        <f t="shared" si="0"/>
        <v>1.2644536469846028</v>
      </c>
    </row>
    <row r="8" spans="1:12" x14ac:dyDescent="0.3">
      <c r="A8" t="s">
        <v>242</v>
      </c>
      <c r="B8" t="s">
        <v>243</v>
      </c>
      <c r="C8" t="s">
        <v>244</v>
      </c>
      <c r="D8">
        <v>156</v>
      </c>
      <c r="E8">
        <v>1</v>
      </c>
      <c r="F8">
        <v>7.21888014807959E-2</v>
      </c>
      <c r="G8">
        <v>13.8525641025641</v>
      </c>
      <c r="H8">
        <v>7.0269862818677406E-2</v>
      </c>
      <c r="I8" s="2">
        <v>1</v>
      </c>
      <c r="J8">
        <v>3486</v>
      </c>
      <c r="K8" t="s">
        <v>226</v>
      </c>
      <c r="L8">
        <f t="shared" si="0"/>
        <v>1.1532308942947092</v>
      </c>
    </row>
    <row r="9" spans="1:12" x14ac:dyDescent="0.3">
      <c r="A9" t="s">
        <v>245</v>
      </c>
      <c r="B9" t="s">
        <v>246</v>
      </c>
      <c r="C9" t="s">
        <v>247</v>
      </c>
      <c r="D9">
        <v>191</v>
      </c>
      <c r="E9">
        <v>1</v>
      </c>
      <c r="F9">
        <v>8.8385006941230901E-2</v>
      </c>
      <c r="G9">
        <v>11.3141361256544</v>
      </c>
      <c r="H9">
        <v>8.5512802909988403E-2</v>
      </c>
      <c r="I9" s="2">
        <v>1</v>
      </c>
      <c r="J9">
        <v>366</v>
      </c>
      <c r="K9" t="s">
        <v>234</v>
      </c>
      <c r="L9">
        <f t="shared" si="0"/>
        <v>1.0679688581735511</v>
      </c>
    </row>
    <row r="10" spans="1:12" x14ac:dyDescent="0.3">
      <c r="A10" t="s">
        <v>37</v>
      </c>
      <c r="B10" t="s">
        <v>38</v>
      </c>
      <c r="C10" t="s">
        <v>248</v>
      </c>
      <c r="D10">
        <v>193</v>
      </c>
      <c r="E10">
        <v>1</v>
      </c>
      <c r="F10">
        <v>8.9310504396112905E-2</v>
      </c>
      <c r="G10">
        <v>11.196891191709801</v>
      </c>
      <c r="H10">
        <v>8.6378128736333007E-2</v>
      </c>
      <c r="I10" s="2">
        <v>1</v>
      </c>
      <c r="J10">
        <v>3486</v>
      </c>
      <c r="K10" t="s">
        <v>226</v>
      </c>
      <c r="L10">
        <f t="shared" si="0"/>
        <v>1.0635962085808042</v>
      </c>
    </row>
    <row r="11" spans="1:12" x14ac:dyDescent="0.3">
      <c r="A11" t="s">
        <v>249</v>
      </c>
      <c r="B11" t="s">
        <v>250</v>
      </c>
      <c r="C11" t="s">
        <v>251</v>
      </c>
      <c r="D11">
        <v>232</v>
      </c>
      <c r="E11">
        <v>1</v>
      </c>
      <c r="F11">
        <v>0.107357704766311</v>
      </c>
      <c r="G11">
        <v>9.31465517241379</v>
      </c>
      <c r="H11">
        <v>0.103129566959277</v>
      </c>
      <c r="I11" s="2">
        <v>1</v>
      </c>
      <c r="J11">
        <v>629</v>
      </c>
      <c r="K11" t="s">
        <v>230</v>
      </c>
      <c r="L11">
        <f t="shared" si="0"/>
        <v>0.98661680584763134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23875-ACE9-47A2-A2AB-BC28093C5DCB}">
  <dimension ref="A1:L11"/>
  <sheetViews>
    <sheetView workbookViewId="0">
      <selection sqref="A1:L11"/>
    </sheetView>
  </sheetViews>
  <sheetFormatPr defaultRowHeight="14.4" x14ac:dyDescent="0.3"/>
  <sheetData>
    <row r="1" spans="1:12" ht="15.6" thickTop="1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5" thickTop="1" x14ac:dyDescent="0.3">
      <c r="A2" t="s">
        <v>252</v>
      </c>
      <c r="B2" t="s">
        <v>253</v>
      </c>
      <c r="C2" t="s">
        <v>254</v>
      </c>
      <c r="D2">
        <v>18</v>
      </c>
      <c r="E2">
        <v>2</v>
      </c>
      <c r="F2">
        <v>1.30802071032791E-2</v>
      </c>
      <c r="G2">
        <v>152.902777777777</v>
      </c>
      <c r="H2" s="4">
        <v>7.02905723758547E-5</v>
      </c>
      <c r="I2" s="2">
        <v>0.13966736731082299</v>
      </c>
      <c r="J2" t="s">
        <v>255</v>
      </c>
      <c r="K2" t="s">
        <v>256</v>
      </c>
      <c r="L2" s="6">
        <f>-LOG(H2,10)</f>
        <v>4.1531029202107161</v>
      </c>
    </row>
    <row r="3" spans="1:12" x14ac:dyDescent="0.3">
      <c r="A3" t="s">
        <v>257</v>
      </c>
      <c r="B3" t="s">
        <v>258</v>
      </c>
      <c r="C3" t="s">
        <v>259</v>
      </c>
      <c r="D3">
        <v>69</v>
      </c>
      <c r="E3">
        <v>2</v>
      </c>
      <c r="F3">
        <v>5.0140793895903299E-2</v>
      </c>
      <c r="G3">
        <v>39.887681159420197</v>
      </c>
      <c r="H3">
        <v>1.0579757151054001E-3</v>
      </c>
      <c r="I3" s="2">
        <v>1</v>
      </c>
      <c r="J3" t="s">
        <v>210</v>
      </c>
      <c r="K3" t="s">
        <v>211</v>
      </c>
      <c r="L3">
        <f t="shared" ref="L3:L11" si="0">-LOG(H3,10)</f>
        <v>2.9755243010312329</v>
      </c>
    </row>
    <row r="4" spans="1:12" x14ac:dyDescent="0.3">
      <c r="A4" t="s">
        <v>260</v>
      </c>
      <c r="B4" t="s">
        <v>261</v>
      </c>
      <c r="C4" t="s">
        <v>262</v>
      </c>
      <c r="D4">
        <v>89</v>
      </c>
      <c r="E4">
        <v>2</v>
      </c>
      <c r="F4">
        <v>6.4674357343991198E-2</v>
      </c>
      <c r="G4">
        <v>30.924157303370698</v>
      </c>
      <c r="H4">
        <v>1.75318561948568E-3</v>
      </c>
      <c r="I4" s="2">
        <v>1</v>
      </c>
      <c r="J4" t="s">
        <v>210</v>
      </c>
      <c r="K4" t="s">
        <v>211</v>
      </c>
      <c r="L4">
        <f t="shared" si="0"/>
        <v>2.7561721003062538</v>
      </c>
    </row>
    <row r="5" spans="1:12" x14ac:dyDescent="0.3">
      <c r="A5" t="s">
        <v>263</v>
      </c>
      <c r="B5" t="s">
        <v>264</v>
      </c>
      <c r="C5" t="s">
        <v>265</v>
      </c>
      <c r="D5">
        <v>115</v>
      </c>
      <c r="E5">
        <v>2</v>
      </c>
      <c r="F5">
        <v>8.3567989826505498E-2</v>
      </c>
      <c r="G5">
        <v>23.9326086956521</v>
      </c>
      <c r="H5">
        <v>2.9069972669414001E-3</v>
      </c>
      <c r="I5" s="2">
        <v>1</v>
      </c>
      <c r="J5" t="s">
        <v>255</v>
      </c>
      <c r="K5" t="s">
        <v>256</v>
      </c>
      <c r="L5">
        <f t="shared" si="0"/>
        <v>2.5365553765380779</v>
      </c>
    </row>
    <row r="6" spans="1:12" x14ac:dyDescent="0.3">
      <c r="A6" t="s">
        <v>266</v>
      </c>
      <c r="B6" t="s">
        <v>267</v>
      </c>
      <c r="C6" t="s">
        <v>268</v>
      </c>
      <c r="D6">
        <v>149</v>
      </c>
      <c r="E6">
        <v>2</v>
      </c>
      <c r="F6">
        <v>0.10827504768825499</v>
      </c>
      <c r="G6">
        <v>18.471476510067099</v>
      </c>
      <c r="H6">
        <v>4.8295592882279898E-3</v>
      </c>
      <c r="I6" s="2">
        <v>1</v>
      </c>
      <c r="J6" t="s">
        <v>269</v>
      </c>
      <c r="K6" t="s">
        <v>270</v>
      </c>
      <c r="L6">
        <f t="shared" si="0"/>
        <v>2.3160924981145912</v>
      </c>
    </row>
    <row r="7" spans="1:12" x14ac:dyDescent="0.3">
      <c r="A7" t="s">
        <v>271</v>
      </c>
      <c r="B7" t="s">
        <v>272</v>
      </c>
      <c r="C7" t="s">
        <v>273</v>
      </c>
      <c r="D7">
        <v>153</v>
      </c>
      <c r="E7">
        <v>2</v>
      </c>
      <c r="F7">
        <v>0.111181760377872</v>
      </c>
      <c r="G7">
        <v>17.988562091503201</v>
      </c>
      <c r="H7">
        <v>5.0858207966941304E-3</v>
      </c>
      <c r="I7" s="2">
        <v>1</v>
      </c>
      <c r="J7" t="s">
        <v>255</v>
      </c>
      <c r="K7" t="s">
        <v>256</v>
      </c>
      <c r="L7">
        <f t="shared" si="0"/>
        <v>2.2936389466333758</v>
      </c>
    </row>
    <row r="8" spans="1:12" x14ac:dyDescent="0.3">
      <c r="A8" t="s">
        <v>274</v>
      </c>
      <c r="B8" t="s">
        <v>275</v>
      </c>
      <c r="C8" t="s">
        <v>276</v>
      </c>
      <c r="D8">
        <v>8</v>
      </c>
      <c r="E8">
        <v>1</v>
      </c>
      <c r="F8">
        <v>5.8134253792351698E-3</v>
      </c>
      <c r="G8">
        <v>172.015625</v>
      </c>
      <c r="H8">
        <v>5.8005008033080296E-3</v>
      </c>
      <c r="I8" s="2">
        <v>1</v>
      </c>
      <c r="J8">
        <v>7849</v>
      </c>
      <c r="K8" t="s">
        <v>277</v>
      </c>
      <c r="L8">
        <f t="shared" si="0"/>
        <v>2.2365345087260553</v>
      </c>
    </row>
    <row r="9" spans="1:12" x14ac:dyDescent="0.3">
      <c r="A9" t="s">
        <v>278</v>
      </c>
      <c r="B9" t="s">
        <v>279</v>
      </c>
      <c r="C9" t="s">
        <v>280</v>
      </c>
      <c r="D9">
        <v>9</v>
      </c>
      <c r="E9">
        <v>1</v>
      </c>
      <c r="F9">
        <v>6.5401035516395598E-3</v>
      </c>
      <c r="G9">
        <v>152.902777777777</v>
      </c>
      <c r="H9">
        <v>6.5234892582808797E-3</v>
      </c>
      <c r="I9" s="2">
        <v>1</v>
      </c>
      <c r="J9">
        <v>2316</v>
      </c>
      <c r="K9" t="s">
        <v>281</v>
      </c>
      <c r="L9">
        <f t="shared" si="0"/>
        <v>2.1855200483971218</v>
      </c>
    </row>
    <row r="10" spans="1:12" x14ac:dyDescent="0.3">
      <c r="A10" t="s">
        <v>282</v>
      </c>
      <c r="B10" t="s">
        <v>283</v>
      </c>
      <c r="C10" t="s">
        <v>284</v>
      </c>
      <c r="D10">
        <v>12</v>
      </c>
      <c r="E10">
        <v>1</v>
      </c>
      <c r="F10">
        <v>8.7201380688527504E-3</v>
      </c>
      <c r="G10">
        <v>114.677083333333</v>
      </c>
      <c r="H10">
        <v>8.6896951256932708E-3</v>
      </c>
      <c r="I10" s="2">
        <v>1</v>
      </c>
      <c r="J10">
        <v>2316</v>
      </c>
      <c r="K10" t="s">
        <v>281</v>
      </c>
      <c r="L10">
        <f t="shared" si="0"/>
        <v>2.0609954603236869</v>
      </c>
    </row>
    <row r="11" spans="1:12" x14ac:dyDescent="0.3">
      <c r="A11" t="s">
        <v>285</v>
      </c>
      <c r="B11" t="s">
        <v>286</v>
      </c>
      <c r="C11" t="s">
        <v>287</v>
      </c>
      <c r="D11">
        <v>14</v>
      </c>
      <c r="E11">
        <v>1</v>
      </c>
      <c r="F11">
        <v>1.0173494413661501E-2</v>
      </c>
      <c r="G11">
        <v>98.294642857142804</v>
      </c>
      <c r="H11">
        <v>1.0131535297665599E-2</v>
      </c>
      <c r="I11" s="2">
        <v>1</v>
      </c>
      <c r="J11">
        <v>3303</v>
      </c>
      <c r="K11" t="s">
        <v>288</v>
      </c>
      <c r="L11">
        <f t="shared" si="0"/>
        <v>1.9943247381755937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260BE-DDCE-47B2-B4FC-8DC0EF569D09}">
  <dimension ref="A1:L11"/>
  <sheetViews>
    <sheetView workbookViewId="0">
      <selection sqref="A1:L11"/>
    </sheetView>
  </sheetViews>
  <sheetFormatPr defaultRowHeight="14.4" x14ac:dyDescent="0.3"/>
  <sheetData>
    <row r="1" spans="1:12" ht="15.6" thickTop="1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5" thickTop="1" x14ac:dyDescent="0.3">
      <c r="A2" t="s">
        <v>289</v>
      </c>
      <c r="B2" t="s">
        <v>290</v>
      </c>
      <c r="C2" t="s">
        <v>291</v>
      </c>
      <c r="D2">
        <v>5</v>
      </c>
      <c r="E2">
        <v>1</v>
      </c>
      <c r="F2">
        <v>2.27086928876373E-3</v>
      </c>
      <c r="G2">
        <v>440.36</v>
      </c>
      <c r="H2">
        <v>2.2692193975142501E-3</v>
      </c>
      <c r="I2" s="2">
        <v>1</v>
      </c>
      <c r="J2">
        <v>629</v>
      </c>
      <c r="K2" t="s">
        <v>230</v>
      </c>
      <c r="L2">
        <f>-LOG(H2,10)</f>
        <v>2.644123512698823</v>
      </c>
    </row>
    <row r="3" spans="1:12" x14ac:dyDescent="0.3">
      <c r="A3" t="s">
        <v>120</v>
      </c>
      <c r="B3" t="s">
        <v>121</v>
      </c>
      <c r="C3" t="s">
        <v>122</v>
      </c>
      <c r="D3">
        <v>6</v>
      </c>
      <c r="E3">
        <v>1</v>
      </c>
      <c r="F3">
        <v>2.7250431465164798E-3</v>
      </c>
      <c r="G3">
        <v>366.96666666666601</v>
      </c>
      <c r="H3">
        <v>2.7225685344451698E-3</v>
      </c>
      <c r="I3" s="2">
        <v>1</v>
      </c>
      <c r="J3">
        <v>3934</v>
      </c>
      <c r="K3" t="s">
        <v>123</v>
      </c>
      <c r="L3">
        <f t="shared" ref="L3:L11" si="0">-LOG(H3,10)</f>
        <v>2.5650211790628274</v>
      </c>
    </row>
    <row r="4" spans="1:12" x14ac:dyDescent="0.3">
      <c r="A4" t="s">
        <v>292</v>
      </c>
      <c r="B4" t="s">
        <v>293</v>
      </c>
      <c r="C4" t="s">
        <v>294</v>
      </c>
      <c r="D4">
        <v>8</v>
      </c>
      <c r="E4">
        <v>1</v>
      </c>
      <c r="F4">
        <v>3.6333908620219801E-3</v>
      </c>
      <c r="G4">
        <v>275.22500000000002</v>
      </c>
      <c r="H4">
        <v>3.6287724254583402E-3</v>
      </c>
      <c r="I4" s="2">
        <v>1</v>
      </c>
      <c r="J4">
        <v>629</v>
      </c>
      <c r="K4" t="s">
        <v>230</v>
      </c>
      <c r="L4">
        <f t="shared" si="0"/>
        <v>2.4402402672545946</v>
      </c>
    </row>
    <row r="5" spans="1:12" x14ac:dyDescent="0.3">
      <c r="A5" t="s">
        <v>295</v>
      </c>
      <c r="B5" t="s">
        <v>296</v>
      </c>
      <c r="C5" t="s">
        <v>297</v>
      </c>
      <c r="D5">
        <v>12</v>
      </c>
      <c r="E5">
        <v>1</v>
      </c>
      <c r="F5">
        <v>5.4500862930329701E-3</v>
      </c>
      <c r="G5">
        <v>183.48333333333301</v>
      </c>
      <c r="H5">
        <v>5.4392039337669198E-3</v>
      </c>
      <c r="I5" s="2">
        <v>1</v>
      </c>
      <c r="J5">
        <v>3486</v>
      </c>
      <c r="K5" t="s">
        <v>226</v>
      </c>
      <c r="L5">
        <f t="shared" si="0"/>
        <v>2.2644646577413123</v>
      </c>
    </row>
    <row r="6" spans="1:12" x14ac:dyDescent="0.3">
      <c r="A6" t="s">
        <v>298</v>
      </c>
      <c r="B6" t="s">
        <v>299</v>
      </c>
      <c r="C6" t="s">
        <v>300</v>
      </c>
      <c r="D6">
        <v>13</v>
      </c>
      <c r="E6">
        <v>1</v>
      </c>
      <c r="F6">
        <v>5.9042601507857204E-3</v>
      </c>
      <c r="G6">
        <v>169.36923076923</v>
      </c>
      <c r="H6">
        <v>5.8914003492380801E-3</v>
      </c>
      <c r="I6" s="2">
        <v>1</v>
      </c>
      <c r="J6">
        <v>366</v>
      </c>
      <c r="K6" t="s">
        <v>234</v>
      </c>
      <c r="L6">
        <f t="shared" si="0"/>
        <v>2.2297814638440165</v>
      </c>
    </row>
    <row r="7" spans="1:12" x14ac:dyDescent="0.3">
      <c r="A7" t="s">
        <v>301</v>
      </c>
      <c r="B7" t="s">
        <v>302</v>
      </c>
      <c r="C7" t="s">
        <v>303</v>
      </c>
      <c r="D7">
        <v>23</v>
      </c>
      <c r="E7">
        <v>1</v>
      </c>
      <c r="F7">
        <v>1.0445998728313101E-2</v>
      </c>
      <c r="G7">
        <v>95.730434782608697</v>
      </c>
      <c r="H7">
        <v>1.0404324688082601E-2</v>
      </c>
      <c r="I7" s="2">
        <v>1</v>
      </c>
      <c r="J7">
        <v>629</v>
      </c>
      <c r="K7" t="s">
        <v>230</v>
      </c>
      <c r="L7">
        <f t="shared" si="0"/>
        <v>1.9827861032233451</v>
      </c>
    </row>
    <row r="8" spans="1:12" x14ac:dyDescent="0.3">
      <c r="A8" t="s">
        <v>304</v>
      </c>
      <c r="B8" t="s">
        <v>305</v>
      </c>
      <c r="C8" t="s">
        <v>306</v>
      </c>
      <c r="D8">
        <v>44</v>
      </c>
      <c r="E8">
        <v>1</v>
      </c>
      <c r="F8">
        <v>1.99836497411209E-2</v>
      </c>
      <c r="G8">
        <v>50.040909090908997</v>
      </c>
      <c r="H8">
        <v>1.98281220930915E-2</v>
      </c>
      <c r="I8" s="2">
        <v>1</v>
      </c>
      <c r="J8">
        <v>3486</v>
      </c>
      <c r="K8" t="s">
        <v>226</v>
      </c>
      <c r="L8">
        <f t="shared" si="0"/>
        <v>1.702718415559066</v>
      </c>
    </row>
    <row r="9" spans="1:12" x14ac:dyDescent="0.3">
      <c r="A9" t="s">
        <v>307</v>
      </c>
      <c r="B9" t="s">
        <v>308</v>
      </c>
      <c r="C9" t="s">
        <v>309</v>
      </c>
      <c r="D9">
        <v>47</v>
      </c>
      <c r="E9">
        <v>1</v>
      </c>
      <c r="F9">
        <v>2.13461713143791E-2</v>
      </c>
      <c r="G9">
        <v>46.846808510638297</v>
      </c>
      <c r="H9">
        <v>2.1168497351070601E-2</v>
      </c>
      <c r="I9" s="2">
        <v>1</v>
      </c>
      <c r="J9">
        <v>629</v>
      </c>
      <c r="K9" t="s">
        <v>230</v>
      </c>
      <c r="L9">
        <f t="shared" si="0"/>
        <v>1.6743099693447778</v>
      </c>
    </row>
    <row r="10" spans="1:12" x14ac:dyDescent="0.3">
      <c r="A10" t="s">
        <v>310</v>
      </c>
      <c r="B10" t="s">
        <v>311</v>
      </c>
      <c r="C10" t="s">
        <v>312</v>
      </c>
      <c r="D10">
        <v>52</v>
      </c>
      <c r="E10">
        <v>1</v>
      </c>
      <c r="F10">
        <v>2.3617040603142798E-2</v>
      </c>
      <c r="G10">
        <v>42.3423076923076</v>
      </c>
      <c r="H10">
        <v>2.33991972418073E-2</v>
      </c>
      <c r="I10" s="2">
        <v>1</v>
      </c>
      <c r="J10">
        <v>366</v>
      </c>
      <c r="K10" t="s">
        <v>234</v>
      </c>
      <c r="L10">
        <f t="shared" si="0"/>
        <v>1.6307990417109519</v>
      </c>
    </row>
    <row r="11" spans="1:12" x14ac:dyDescent="0.3">
      <c r="A11" t="s">
        <v>313</v>
      </c>
      <c r="B11" t="s">
        <v>314</v>
      </c>
      <c r="C11" t="s">
        <v>315</v>
      </c>
      <c r="D11">
        <v>58</v>
      </c>
      <c r="E11">
        <v>1</v>
      </c>
      <c r="F11">
        <v>2.6342083749659299E-2</v>
      </c>
      <c r="G11">
        <v>37.962068965517197</v>
      </c>
      <c r="H11">
        <v>2.6070666832665401E-2</v>
      </c>
      <c r="I11" s="2">
        <v>1</v>
      </c>
      <c r="J11">
        <v>629</v>
      </c>
      <c r="K11" t="s">
        <v>230</v>
      </c>
      <c r="L11">
        <f t="shared" si="0"/>
        <v>1.583847860352837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0C5E7-B45F-4A34-893C-74E12EFC8264}">
  <dimension ref="A1:L11"/>
  <sheetViews>
    <sheetView workbookViewId="0">
      <selection activeCell="R13" sqref="R13"/>
    </sheetView>
  </sheetViews>
  <sheetFormatPr defaultRowHeight="14.4" x14ac:dyDescent="0.3"/>
  <sheetData>
    <row r="1" spans="1:12" ht="15.6" thickTop="1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5" thickTop="1" x14ac:dyDescent="0.3">
      <c r="A2" t="s">
        <v>316</v>
      </c>
      <c r="B2" s="3" t="s">
        <v>317</v>
      </c>
      <c r="C2" t="s">
        <v>318</v>
      </c>
      <c r="D2">
        <v>99</v>
      </c>
      <c r="E2">
        <v>5</v>
      </c>
      <c r="F2">
        <v>0.35504396112910602</v>
      </c>
      <c r="G2">
        <v>14.0827631150211</v>
      </c>
      <c r="H2" s="4">
        <v>2.38858630338285E-5</v>
      </c>
      <c r="I2">
        <v>8.4078237879076402E-3</v>
      </c>
      <c r="J2" t="s">
        <v>319</v>
      </c>
      <c r="K2" s="3" t="s">
        <v>320</v>
      </c>
      <c r="L2" s="6">
        <f>-LOG(H2,10)</f>
        <v>4.6218590623539129</v>
      </c>
    </row>
    <row r="3" spans="1:12" x14ac:dyDescent="0.3">
      <c r="A3" t="s">
        <v>193</v>
      </c>
      <c r="B3" s="3" t="s">
        <v>194</v>
      </c>
      <c r="C3" t="s">
        <v>321</v>
      </c>
      <c r="D3">
        <v>92</v>
      </c>
      <c r="E3">
        <v>4</v>
      </c>
      <c r="F3">
        <v>0.32993984266543203</v>
      </c>
      <c r="G3">
        <v>12.123422159887699</v>
      </c>
      <c r="H3" s="4">
        <v>3.0346721941057697E-4</v>
      </c>
      <c r="I3" s="2">
        <v>5.34102306162616E-2</v>
      </c>
      <c r="J3" t="s">
        <v>322</v>
      </c>
      <c r="K3" s="3" t="s">
        <v>323</v>
      </c>
      <c r="L3">
        <f t="shared" ref="L3:L11" si="0">-LOG(H3,10)</f>
        <v>3.5178882146315016</v>
      </c>
    </row>
    <row r="4" spans="1:12" x14ac:dyDescent="0.3">
      <c r="A4" t="s">
        <v>199</v>
      </c>
      <c r="B4" s="3" t="s">
        <v>200</v>
      </c>
      <c r="C4" t="s">
        <v>324</v>
      </c>
      <c r="D4">
        <v>203</v>
      </c>
      <c r="E4">
        <v>5</v>
      </c>
      <c r="F4">
        <v>0.72801943544655201</v>
      </c>
      <c r="G4">
        <v>6.8679485142221504</v>
      </c>
      <c r="H4" s="4">
        <v>7.02486665760339E-4</v>
      </c>
      <c r="I4" s="2">
        <v>6.4629555294968097E-2</v>
      </c>
      <c r="J4" t="s">
        <v>325</v>
      </c>
      <c r="K4" s="3" t="s">
        <v>326</v>
      </c>
      <c r="L4">
        <f t="shared" si="0"/>
        <v>3.1533619148985625</v>
      </c>
    </row>
    <row r="5" spans="1:12" x14ac:dyDescent="0.3">
      <c r="A5" t="s">
        <v>327</v>
      </c>
      <c r="B5" s="3" t="s">
        <v>328</v>
      </c>
      <c r="C5" t="s">
        <v>329</v>
      </c>
      <c r="D5">
        <v>205</v>
      </c>
      <c r="E5">
        <v>5</v>
      </c>
      <c r="F5">
        <v>0.73519204072188804</v>
      </c>
      <c r="G5">
        <v>6.80094413847364</v>
      </c>
      <c r="H5" s="4">
        <v>7.3442676471554701E-4</v>
      </c>
      <c r="I5" s="2">
        <v>6.4629555294968097E-2</v>
      </c>
      <c r="J5" t="s">
        <v>330</v>
      </c>
      <c r="K5" s="3" t="s">
        <v>331</v>
      </c>
      <c r="L5">
        <f t="shared" si="0"/>
        <v>3.1340515045240434</v>
      </c>
    </row>
    <row r="6" spans="1:12" x14ac:dyDescent="0.3">
      <c r="A6" t="s">
        <v>23</v>
      </c>
      <c r="B6" s="3" t="s">
        <v>24</v>
      </c>
      <c r="C6" t="s">
        <v>332</v>
      </c>
      <c r="D6">
        <v>67</v>
      </c>
      <c r="E6">
        <v>3</v>
      </c>
      <c r="F6">
        <v>0.240282276723739</v>
      </c>
      <c r="G6">
        <v>12.4853153586904</v>
      </c>
      <c r="H6">
        <v>1.7131385858607101E-3</v>
      </c>
      <c r="I6" s="2">
        <v>0.120604956444594</v>
      </c>
      <c r="J6" t="s">
        <v>333</v>
      </c>
      <c r="K6" s="3" t="s">
        <v>334</v>
      </c>
      <c r="L6">
        <f t="shared" si="0"/>
        <v>2.7662075029772404</v>
      </c>
    </row>
    <row r="7" spans="1:12" x14ac:dyDescent="0.3">
      <c r="A7" t="s">
        <v>335</v>
      </c>
      <c r="B7" s="3" t="s">
        <v>336</v>
      </c>
      <c r="C7" t="s">
        <v>337</v>
      </c>
      <c r="D7">
        <v>89</v>
      </c>
      <c r="E7">
        <v>3</v>
      </c>
      <c r="F7">
        <v>0.31918093475242898</v>
      </c>
      <c r="G7">
        <v>9.3990576295759301</v>
      </c>
      <c r="H7">
        <v>3.8506562829919298E-3</v>
      </c>
      <c r="I7" s="2">
        <v>0.22590516860219301</v>
      </c>
      <c r="J7" t="s">
        <v>338</v>
      </c>
      <c r="K7" s="3" t="s">
        <v>339</v>
      </c>
      <c r="L7">
        <f t="shared" si="0"/>
        <v>2.4144652456104558</v>
      </c>
    </row>
    <row r="8" spans="1:12" x14ac:dyDescent="0.3">
      <c r="A8" t="s">
        <v>42</v>
      </c>
      <c r="B8" s="3" t="s">
        <v>43</v>
      </c>
      <c r="C8" t="s">
        <v>340</v>
      </c>
      <c r="D8">
        <v>202</v>
      </c>
      <c r="E8">
        <v>4</v>
      </c>
      <c r="F8">
        <v>0.72443313280888399</v>
      </c>
      <c r="G8">
        <v>5.5215586074736498</v>
      </c>
      <c r="H8">
        <v>5.5559097184295003E-3</v>
      </c>
      <c r="I8" s="2">
        <v>0.26527583112458603</v>
      </c>
      <c r="J8" t="s">
        <v>341</v>
      </c>
      <c r="K8" s="3" t="s">
        <v>342</v>
      </c>
      <c r="L8">
        <f t="shared" si="0"/>
        <v>2.2552448200090165</v>
      </c>
    </row>
    <row r="9" spans="1:12" x14ac:dyDescent="0.3">
      <c r="A9" t="s">
        <v>343</v>
      </c>
      <c r="B9" t="s">
        <v>344</v>
      </c>
      <c r="C9" t="s">
        <v>345</v>
      </c>
      <c r="D9">
        <v>34</v>
      </c>
      <c r="E9">
        <v>2</v>
      </c>
      <c r="F9">
        <v>0.121934289680703</v>
      </c>
      <c r="G9">
        <v>16.402277039848101</v>
      </c>
      <c r="H9">
        <v>6.50183374941995E-3</v>
      </c>
      <c r="I9" s="2">
        <v>0.26527583112458603</v>
      </c>
      <c r="J9" t="s">
        <v>346</v>
      </c>
      <c r="K9" t="s">
        <v>347</v>
      </c>
      <c r="L9">
        <f t="shared" si="0"/>
        <v>2.1869641395203923</v>
      </c>
    </row>
    <row r="10" spans="1:12" x14ac:dyDescent="0.3">
      <c r="A10" t="s">
        <v>348</v>
      </c>
      <c r="B10" s="3" t="s">
        <v>349</v>
      </c>
      <c r="C10" t="s">
        <v>350</v>
      </c>
      <c r="D10">
        <v>109</v>
      </c>
      <c r="E10">
        <v>3</v>
      </c>
      <c r="F10">
        <v>0.39090698750578401</v>
      </c>
      <c r="G10">
        <v>7.67445989937851</v>
      </c>
      <c r="H10">
        <v>6.7826206821627096E-3</v>
      </c>
      <c r="I10" s="2">
        <v>0.26527583112458603</v>
      </c>
      <c r="J10" t="s">
        <v>351</v>
      </c>
      <c r="K10" s="3" t="s">
        <v>352</v>
      </c>
      <c r="L10">
        <f t="shared" si="0"/>
        <v>2.1686024701603874</v>
      </c>
    </row>
    <row r="11" spans="1:12" x14ac:dyDescent="0.3">
      <c r="A11" t="s">
        <v>188</v>
      </c>
      <c r="B11" s="3" t="s">
        <v>189</v>
      </c>
      <c r="C11" t="s">
        <v>353</v>
      </c>
      <c r="D11">
        <v>37</v>
      </c>
      <c r="E11">
        <v>2</v>
      </c>
      <c r="F11">
        <v>0.13269319759370601</v>
      </c>
      <c r="G11">
        <v>15.072362685265899</v>
      </c>
      <c r="H11">
        <v>7.66740219175043E-3</v>
      </c>
      <c r="I11" s="2">
        <v>0.26801980116583102</v>
      </c>
      <c r="J11" t="s">
        <v>215</v>
      </c>
      <c r="K11" s="3" t="s">
        <v>354</v>
      </c>
      <c r="L11">
        <f t="shared" si="0"/>
        <v>2.1153517553329566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5DFD7-FF23-4D96-BFB8-94DF72DE1709}">
  <dimension ref="A1:L11"/>
  <sheetViews>
    <sheetView workbookViewId="0">
      <selection activeCell="L9" sqref="L9"/>
    </sheetView>
  </sheetViews>
  <sheetFormatPr defaultRowHeight="14.4" x14ac:dyDescent="0.3"/>
  <sheetData>
    <row r="1" spans="1:12" ht="15.6" thickTop="1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5" thickTop="1" x14ac:dyDescent="0.3">
      <c r="A2" t="s">
        <v>61</v>
      </c>
      <c r="B2" s="3" t="s">
        <v>62</v>
      </c>
      <c r="C2" t="s">
        <v>355</v>
      </c>
      <c r="D2">
        <v>114</v>
      </c>
      <c r="E2">
        <v>17</v>
      </c>
      <c r="F2">
        <v>0.54072188801480703</v>
      </c>
      <c r="G2">
        <v>31.439452289259702</v>
      </c>
      <c r="H2" s="4">
        <v>3.7520352542038498E-22</v>
      </c>
      <c r="I2" s="4">
        <v>1.3207164094797499E-19</v>
      </c>
      <c r="J2" t="s">
        <v>356</v>
      </c>
      <c r="K2" s="3" t="s">
        <v>357</v>
      </c>
      <c r="L2" s="6">
        <f>-LOG(H2,10)</f>
        <v>21.425733089633521</v>
      </c>
    </row>
    <row r="3" spans="1:12" x14ac:dyDescent="0.3">
      <c r="A3" t="s">
        <v>56</v>
      </c>
      <c r="B3" s="3" t="s">
        <v>57</v>
      </c>
      <c r="C3" t="s">
        <v>358</v>
      </c>
      <c r="D3">
        <v>100</v>
      </c>
      <c r="E3">
        <v>13</v>
      </c>
      <c r="F3">
        <v>0.47431744562702399</v>
      </c>
      <c r="G3">
        <v>27.407804878048701</v>
      </c>
      <c r="H3" s="4">
        <v>4.0213587299532598E-16</v>
      </c>
      <c r="I3" s="4">
        <v>7.0775913647177397E-14</v>
      </c>
      <c r="J3" t="s">
        <v>359</v>
      </c>
      <c r="K3" s="3" t="s">
        <v>360</v>
      </c>
      <c r="L3" s="6">
        <f t="shared" ref="L3:L11" si="0">-LOG(H3,10)</f>
        <v>15.395627183427782</v>
      </c>
    </row>
    <row r="4" spans="1:12" x14ac:dyDescent="0.3">
      <c r="A4" t="s">
        <v>51</v>
      </c>
      <c r="B4" s="3" t="s">
        <v>52</v>
      </c>
      <c r="C4" t="s">
        <v>361</v>
      </c>
      <c r="D4">
        <v>297</v>
      </c>
      <c r="E4">
        <v>17</v>
      </c>
      <c r="F4">
        <v>1.40872281351226</v>
      </c>
      <c r="G4">
        <v>12.0676685554734</v>
      </c>
      <c r="H4" s="4">
        <v>5.9293847093107999E-15</v>
      </c>
      <c r="I4" s="4">
        <v>6.9571447255913302E-13</v>
      </c>
      <c r="J4" t="s">
        <v>362</v>
      </c>
      <c r="K4" s="3" t="s">
        <v>363</v>
      </c>
      <c r="L4" s="6">
        <f t="shared" si="0"/>
        <v>14.226990370921595</v>
      </c>
    </row>
    <row r="5" spans="1:12" x14ac:dyDescent="0.3">
      <c r="A5" t="s">
        <v>79</v>
      </c>
      <c r="B5" s="3" t="s">
        <v>80</v>
      </c>
      <c r="C5" t="s">
        <v>364</v>
      </c>
      <c r="D5">
        <v>104</v>
      </c>
      <c r="E5">
        <v>12</v>
      </c>
      <c r="F5">
        <v>0.49329014345210498</v>
      </c>
      <c r="G5">
        <v>24.3264540337711</v>
      </c>
      <c r="H5" s="4">
        <v>2.8426287563511098E-14</v>
      </c>
      <c r="I5" s="4">
        <v>2.5015133055889801E-12</v>
      </c>
      <c r="J5" t="s">
        <v>365</v>
      </c>
      <c r="K5" s="3" t="s">
        <v>366</v>
      </c>
      <c r="L5" s="6">
        <f t="shared" si="0"/>
        <v>13.546279854905354</v>
      </c>
    </row>
    <row r="6" spans="1:12" x14ac:dyDescent="0.3">
      <c r="A6" t="s">
        <v>89</v>
      </c>
      <c r="B6" s="3" t="s">
        <v>90</v>
      </c>
      <c r="C6" t="s">
        <v>367</v>
      </c>
      <c r="D6">
        <v>94</v>
      </c>
      <c r="E6">
        <v>11</v>
      </c>
      <c r="F6">
        <v>0.44585839888940298</v>
      </c>
      <c r="G6">
        <v>24.671510119356501</v>
      </c>
      <c r="H6" s="4">
        <v>3.3371793193813898E-13</v>
      </c>
      <c r="I6" s="4">
        <v>2.3493742408445E-11</v>
      </c>
      <c r="J6" t="s">
        <v>368</v>
      </c>
      <c r="K6" s="3" t="s">
        <v>369</v>
      </c>
      <c r="L6" s="6">
        <f t="shared" si="0"/>
        <v>12.476620456418184</v>
      </c>
    </row>
    <row r="7" spans="1:12" x14ac:dyDescent="0.3">
      <c r="A7" t="s">
        <v>66</v>
      </c>
      <c r="B7" s="3" t="s">
        <v>67</v>
      </c>
      <c r="C7" t="s">
        <v>370</v>
      </c>
      <c r="D7">
        <v>192</v>
      </c>
      <c r="E7">
        <v>13</v>
      </c>
      <c r="F7">
        <v>0.91068949560388701</v>
      </c>
      <c r="G7">
        <v>14.274898373983699</v>
      </c>
      <c r="H7" s="4">
        <v>2.1811332309748999E-12</v>
      </c>
      <c r="I7" s="4">
        <v>1.2795981621719399E-10</v>
      </c>
      <c r="J7" t="s">
        <v>371</v>
      </c>
      <c r="K7" s="3" t="s">
        <v>372</v>
      </c>
      <c r="L7" s="6">
        <f t="shared" si="0"/>
        <v>11.661317805439184</v>
      </c>
    </row>
    <row r="8" spans="1:12" x14ac:dyDescent="0.3">
      <c r="A8" t="s">
        <v>84</v>
      </c>
      <c r="B8" s="3" t="s">
        <v>85</v>
      </c>
      <c r="C8" t="s">
        <v>373</v>
      </c>
      <c r="D8">
        <v>93</v>
      </c>
      <c r="E8">
        <v>10</v>
      </c>
      <c r="F8">
        <v>0.441115224433132</v>
      </c>
      <c r="G8">
        <v>22.669813794912098</v>
      </c>
      <c r="H8" s="4">
        <v>1.0806146076167401E-11</v>
      </c>
      <c r="I8" s="4">
        <v>5.4339477411584897E-10</v>
      </c>
      <c r="J8" t="s">
        <v>374</v>
      </c>
      <c r="K8" s="3" t="s">
        <v>375</v>
      </c>
      <c r="L8" s="6">
        <f t="shared" si="0"/>
        <v>10.966329166017195</v>
      </c>
    </row>
    <row r="9" spans="1:12" x14ac:dyDescent="0.3">
      <c r="A9" t="s">
        <v>69</v>
      </c>
      <c r="B9" s="3" t="s">
        <v>70</v>
      </c>
      <c r="C9" t="s">
        <v>376</v>
      </c>
      <c r="D9">
        <v>56</v>
      </c>
      <c r="E9">
        <v>7</v>
      </c>
      <c r="F9">
        <v>0.26561776955113298</v>
      </c>
      <c r="G9">
        <v>26.3536585365853</v>
      </c>
      <c r="H9" s="4">
        <v>6.1679309423870603E-9</v>
      </c>
      <c r="I9" s="4">
        <v>2.7138896146503097E-7</v>
      </c>
      <c r="J9" t="s">
        <v>377</v>
      </c>
      <c r="K9" s="3" t="s">
        <v>378</v>
      </c>
      <c r="L9" s="6">
        <f t="shared" si="0"/>
        <v>8.2098604973935654</v>
      </c>
    </row>
    <row r="10" spans="1:12" x14ac:dyDescent="0.3">
      <c r="A10" t="s">
        <v>379</v>
      </c>
      <c r="B10" s="3" t="s">
        <v>380</v>
      </c>
      <c r="C10" t="s">
        <v>381</v>
      </c>
      <c r="D10">
        <v>186</v>
      </c>
      <c r="E10">
        <v>9</v>
      </c>
      <c r="F10">
        <v>0.882230448866265</v>
      </c>
      <c r="G10">
        <v>10.2014162077104</v>
      </c>
      <c r="H10" s="4">
        <v>1.5765657545391301E-7</v>
      </c>
      <c r="I10" s="4">
        <v>6.1661238399752702E-6</v>
      </c>
      <c r="J10" t="s">
        <v>382</v>
      </c>
      <c r="K10" s="3" t="s">
        <v>383</v>
      </c>
      <c r="L10" s="6">
        <f t="shared" si="0"/>
        <v>6.8022879112224635</v>
      </c>
    </row>
    <row r="11" spans="1:12" x14ac:dyDescent="0.3">
      <c r="A11" t="s">
        <v>74</v>
      </c>
      <c r="B11" s="3" t="s">
        <v>75</v>
      </c>
      <c r="C11" t="s">
        <v>384</v>
      </c>
      <c r="D11">
        <v>215</v>
      </c>
      <c r="E11">
        <v>9</v>
      </c>
      <c r="F11">
        <v>1.0197825080981</v>
      </c>
      <c r="G11">
        <v>8.8254112308564903</v>
      </c>
      <c r="H11" s="4">
        <v>5.4084559940494496E-7</v>
      </c>
      <c r="I11" s="4">
        <v>1.9037765099054002E-5</v>
      </c>
      <c r="J11" t="s">
        <v>385</v>
      </c>
      <c r="K11" s="3" t="s">
        <v>386</v>
      </c>
      <c r="L11" s="6">
        <f t="shared" si="0"/>
        <v>6.2669266995828963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73114C-DAE5-4507-BFDD-DBFD0D85982A}">
  <dimension ref="A1:L11"/>
  <sheetViews>
    <sheetView workbookViewId="0">
      <selection activeCell="R10" sqref="R10"/>
    </sheetView>
  </sheetViews>
  <sheetFormatPr defaultRowHeight="14.4" x14ac:dyDescent="0.3"/>
  <sheetData>
    <row r="1" spans="1:12" ht="15.6" thickTop="1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5" thickTop="1" x14ac:dyDescent="0.3">
      <c r="A2" t="s">
        <v>252</v>
      </c>
      <c r="B2" s="3" t="s">
        <v>253</v>
      </c>
      <c r="C2" t="s">
        <v>254</v>
      </c>
      <c r="D2">
        <v>18</v>
      </c>
      <c r="E2">
        <v>3</v>
      </c>
      <c r="F2">
        <v>5.2320828413116499E-2</v>
      </c>
      <c r="G2">
        <v>57.3385416666666</v>
      </c>
      <c r="H2" s="4">
        <v>1.7673262537774301E-5</v>
      </c>
      <c r="I2">
        <v>3.5116772662557499E-2</v>
      </c>
      <c r="J2" t="s">
        <v>387</v>
      </c>
      <c r="K2" s="3" t="s">
        <v>388</v>
      </c>
      <c r="L2" s="6">
        <f>-LOG(H2,10)</f>
        <v>4.7526832710160356</v>
      </c>
    </row>
    <row r="3" spans="1:12" x14ac:dyDescent="0.3">
      <c r="A3" t="s">
        <v>389</v>
      </c>
      <c r="B3" s="3" t="s">
        <v>390</v>
      </c>
      <c r="C3" t="s">
        <v>391</v>
      </c>
      <c r="D3">
        <v>39</v>
      </c>
      <c r="E3">
        <v>3</v>
      </c>
      <c r="F3">
        <v>0.11336179489508499</v>
      </c>
      <c r="G3">
        <v>26.463942307692299</v>
      </c>
      <c r="H3" s="4">
        <v>1.89894114111396E-4</v>
      </c>
      <c r="I3" s="2">
        <v>0.188659802369672</v>
      </c>
      <c r="J3" t="s">
        <v>392</v>
      </c>
      <c r="K3" s="3" t="s">
        <v>393</v>
      </c>
      <c r="L3">
        <f t="shared" ref="L3:L11" si="0">-LOG(H3,10)</f>
        <v>3.7214884962875057</v>
      </c>
    </row>
    <row r="4" spans="1:12" x14ac:dyDescent="0.3">
      <c r="A4" t="s">
        <v>394</v>
      </c>
      <c r="B4" s="3" t="s">
        <v>395</v>
      </c>
      <c r="C4" t="s">
        <v>396</v>
      </c>
      <c r="D4">
        <v>526</v>
      </c>
      <c r="E4">
        <v>7</v>
      </c>
      <c r="F4">
        <v>1.5289308747388499</v>
      </c>
      <c r="G4">
        <v>4.5783626425855504</v>
      </c>
      <c r="H4" s="4">
        <v>6.4733951268216205E-4</v>
      </c>
      <c r="I4" s="2">
        <v>0.35570218464270398</v>
      </c>
      <c r="J4" t="s">
        <v>397</v>
      </c>
      <c r="K4" s="3" t="s">
        <v>398</v>
      </c>
      <c r="L4">
        <f t="shared" si="0"/>
        <v>3.1888678834561892</v>
      </c>
    </row>
    <row r="5" spans="1:12" x14ac:dyDescent="0.3">
      <c r="A5" t="s">
        <v>399</v>
      </c>
      <c r="B5" s="3" t="s">
        <v>400</v>
      </c>
      <c r="C5" t="s">
        <v>401</v>
      </c>
      <c r="D5">
        <v>61</v>
      </c>
      <c r="E5">
        <v>3</v>
      </c>
      <c r="F5">
        <v>0.177309474066672</v>
      </c>
      <c r="G5">
        <v>16.9195696721311</v>
      </c>
      <c r="H5" s="4">
        <v>7.1605875116799997E-4</v>
      </c>
      <c r="I5" s="2">
        <v>0.35570218464270398</v>
      </c>
      <c r="J5" t="s">
        <v>392</v>
      </c>
      <c r="K5" s="3" t="s">
        <v>393</v>
      </c>
      <c r="L5">
        <f t="shared" si="0"/>
        <v>3.1450513432489884</v>
      </c>
    </row>
    <row r="6" spans="1:12" x14ac:dyDescent="0.3">
      <c r="A6" t="s">
        <v>402</v>
      </c>
      <c r="B6" s="3" t="s">
        <v>403</v>
      </c>
      <c r="C6" t="s">
        <v>404</v>
      </c>
      <c r="D6">
        <v>269</v>
      </c>
      <c r="E6">
        <v>5</v>
      </c>
      <c r="F6">
        <v>0.78190571350713001</v>
      </c>
      <c r="G6">
        <v>6.3946328996282498</v>
      </c>
      <c r="H6" s="4">
        <v>9.8405573935246592E-4</v>
      </c>
      <c r="I6" s="2">
        <v>0.39106375081867001</v>
      </c>
      <c r="J6" t="s">
        <v>405</v>
      </c>
      <c r="K6" s="3" t="s">
        <v>406</v>
      </c>
      <c r="L6">
        <f t="shared" si="0"/>
        <v>3.0069803013576752</v>
      </c>
    </row>
    <row r="7" spans="1:12" x14ac:dyDescent="0.3">
      <c r="A7" t="s">
        <v>99</v>
      </c>
      <c r="B7" s="3" t="s">
        <v>100</v>
      </c>
      <c r="C7" t="s">
        <v>101</v>
      </c>
      <c r="D7">
        <v>73</v>
      </c>
      <c r="E7">
        <v>3</v>
      </c>
      <c r="F7">
        <v>0.212190026342083</v>
      </c>
      <c r="G7">
        <v>14.138270547945201</v>
      </c>
      <c r="H7">
        <v>1.2085397549517799E-3</v>
      </c>
      <c r="I7" s="2">
        <v>0.400228082181532</v>
      </c>
      <c r="J7" t="s">
        <v>407</v>
      </c>
      <c r="K7" s="3" t="s">
        <v>408</v>
      </c>
      <c r="L7">
        <f t="shared" si="0"/>
        <v>2.9177390588912409</v>
      </c>
    </row>
    <row r="8" spans="1:12" x14ac:dyDescent="0.3">
      <c r="A8" t="s">
        <v>112</v>
      </c>
      <c r="B8" s="3" t="s">
        <v>113</v>
      </c>
      <c r="C8" t="s">
        <v>114</v>
      </c>
      <c r="D8">
        <v>93</v>
      </c>
      <c r="E8">
        <v>3</v>
      </c>
      <c r="F8">
        <v>0.27032428013443499</v>
      </c>
      <c r="G8">
        <v>11.0977822580645</v>
      </c>
      <c r="H8">
        <v>2.42417392870619E-3</v>
      </c>
      <c r="I8" s="2">
        <v>0.68811908519131604</v>
      </c>
      <c r="J8" t="s">
        <v>407</v>
      </c>
      <c r="K8" s="3" t="s">
        <v>408</v>
      </c>
      <c r="L8">
        <f t="shared" si="0"/>
        <v>2.6154362237930844</v>
      </c>
    </row>
    <row r="9" spans="1:12" x14ac:dyDescent="0.3">
      <c r="A9" t="s">
        <v>409</v>
      </c>
      <c r="B9" t="s">
        <v>410</v>
      </c>
      <c r="C9" t="s">
        <v>411</v>
      </c>
      <c r="D9">
        <v>30</v>
      </c>
      <c r="E9">
        <v>2</v>
      </c>
      <c r="F9">
        <v>8.7201380688527494E-2</v>
      </c>
      <c r="G9">
        <v>22.935416666666601</v>
      </c>
      <c r="H9">
        <v>3.3843642145957101E-3</v>
      </c>
      <c r="I9" s="2">
        <v>0.74719241048907503</v>
      </c>
      <c r="J9" t="s">
        <v>412</v>
      </c>
      <c r="K9" t="s">
        <v>413</v>
      </c>
      <c r="L9">
        <f t="shared" si="0"/>
        <v>2.4705229057164599</v>
      </c>
    </row>
    <row r="10" spans="1:12" x14ac:dyDescent="0.3">
      <c r="A10" t="s">
        <v>414</v>
      </c>
      <c r="B10" t="s">
        <v>415</v>
      </c>
      <c r="C10" t="s">
        <v>416</v>
      </c>
      <c r="D10">
        <v>30</v>
      </c>
      <c r="E10">
        <v>2</v>
      </c>
      <c r="F10">
        <v>8.7201380688527494E-2</v>
      </c>
      <c r="G10">
        <v>22.935416666666601</v>
      </c>
      <c r="H10">
        <v>3.3843642145957101E-3</v>
      </c>
      <c r="I10" s="2">
        <v>0.74719241048907503</v>
      </c>
      <c r="J10" t="s">
        <v>412</v>
      </c>
      <c r="K10" t="s">
        <v>413</v>
      </c>
      <c r="L10">
        <f t="shared" si="0"/>
        <v>2.4705229057164599</v>
      </c>
    </row>
    <row r="11" spans="1:12" x14ac:dyDescent="0.3">
      <c r="A11" t="s">
        <v>263</v>
      </c>
      <c r="B11" s="3" t="s">
        <v>264</v>
      </c>
      <c r="C11" t="s">
        <v>265</v>
      </c>
      <c r="D11">
        <v>115</v>
      </c>
      <c r="E11">
        <v>3</v>
      </c>
      <c r="F11">
        <v>0.33427195930602199</v>
      </c>
      <c r="G11">
        <v>8.9747282608695595</v>
      </c>
      <c r="H11">
        <v>4.4172766838409001E-3</v>
      </c>
      <c r="I11" s="2">
        <v>0.79792079734471499</v>
      </c>
      <c r="J11" t="s">
        <v>387</v>
      </c>
      <c r="K11" s="3" t="s">
        <v>388</v>
      </c>
      <c r="L11">
        <f t="shared" si="0"/>
        <v>2.3548453970961551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79FF1-44EF-462D-B4A3-F4D7F45DF734}">
  <dimension ref="A1:L11"/>
  <sheetViews>
    <sheetView tabSelected="1" workbookViewId="0">
      <selection activeCell="V5" sqref="V5"/>
    </sheetView>
  </sheetViews>
  <sheetFormatPr defaultRowHeight="14.4" x14ac:dyDescent="0.3"/>
  <sheetData>
    <row r="1" spans="1:12" ht="15.6" thickTop="1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5" thickTop="1" x14ac:dyDescent="0.3">
      <c r="A2" t="s">
        <v>61</v>
      </c>
      <c r="B2" s="3" t="s">
        <v>62</v>
      </c>
      <c r="C2" t="s">
        <v>355</v>
      </c>
      <c r="D2">
        <v>114</v>
      </c>
      <c r="E2">
        <v>17</v>
      </c>
      <c r="F2">
        <v>0.54072188801480703</v>
      </c>
      <c r="G2">
        <v>31.439452289259702</v>
      </c>
      <c r="H2" s="4">
        <v>3.7520352542038498E-22</v>
      </c>
      <c r="I2" s="4">
        <v>1.3207164094797499E-19</v>
      </c>
      <c r="J2" t="s">
        <v>356</v>
      </c>
      <c r="K2" s="3" t="s">
        <v>357</v>
      </c>
      <c r="L2" s="6">
        <f>-LOG(H2,10)</f>
        <v>21.425733089633521</v>
      </c>
    </row>
    <row r="3" spans="1:12" x14ac:dyDescent="0.3">
      <c r="A3" t="s">
        <v>56</v>
      </c>
      <c r="B3" s="3" t="s">
        <v>57</v>
      </c>
      <c r="C3" t="s">
        <v>358</v>
      </c>
      <c r="D3">
        <v>100</v>
      </c>
      <c r="E3">
        <v>13</v>
      </c>
      <c r="F3">
        <v>0.47431744562702399</v>
      </c>
      <c r="G3">
        <v>27.407804878048701</v>
      </c>
      <c r="H3" s="4">
        <v>4.0213587299532598E-16</v>
      </c>
      <c r="I3" s="4">
        <v>7.0775913647177397E-14</v>
      </c>
      <c r="J3" t="s">
        <v>359</v>
      </c>
      <c r="K3" s="3" t="s">
        <v>360</v>
      </c>
      <c r="L3" s="6">
        <f t="shared" ref="L3:L11" si="0">-LOG(H3,10)</f>
        <v>15.395627183427782</v>
      </c>
    </row>
    <row r="4" spans="1:12" x14ac:dyDescent="0.3">
      <c r="A4" t="s">
        <v>51</v>
      </c>
      <c r="B4" s="3" t="s">
        <v>52</v>
      </c>
      <c r="C4" t="s">
        <v>361</v>
      </c>
      <c r="D4">
        <v>297</v>
      </c>
      <c r="E4">
        <v>17</v>
      </c>
      <c r="F4">
        <v>1.40872281351226</v>
      </c>
      <c r="G4">
        <v>12.0676685554734</v>
      </c>
      <c r="H4" s="4">
        <v>5.9293847093107999E-15</v>
      </c>
      <c r="I4" s="4">
        <v>6.9571447255913302E-13</v>
      </c>
      <c r="J4" t="s">
        <v>362</v>
      </c>
      <c r="K4" s="3" t="s">
        <v>363</v>
      </c>
      <c r="L4" s="6">
        <f t="shared" si="0"/>
        <v>14.226990370921595</v>
      </c>
    </row>
    <row r="5" spans="1:12" x14ac:dyDescent="0.3">
      <c r="A5" t="s">
        <v>79</v>
      </c>
      <c r="B5" s="3" t="s">
        <v>80</v>
      </c>
      <c r="C5" t="s">
        <v>364</v>
      </c>
      <c r="D5">
        <v>104</v>
      </c>
      <c r="E5">
        <v>12</v>
      </c>
      <c r="F5">
        <v>0.49329014345210498</v>
      </c>
      <c r="G5">
        <v>24.3264540337711</v>
      </c>
      <c r="H5" s="4">
        <v>2.8426287563511098E-14</v>
      </c>
      <c r="I5" s="4">
        <v>2.5015133055889801E-12</v>
      </c>
      <c r="J5" t="s">
        <v>365</v>
      </c>
      <c r="K5" s="3" t="s">
        <v>366</v>
      </c>
      <c r="L5" s="6">
        <f t="shared" si="0"/>
        <v>13.546279854905354</v>
      </c>
    </row>
    <row r="6" spans="1:12" x14ac:dyDescent="0.3">
      <c r="A6" t="s">
        <v>89</v>
      </c>
      <c r="B6" s="3" t="s">
        <v>90</v>
      </c>
      <c r="C6" t="s">
        <v>367</v>
      </c>
      <c r="D6">
        <v>94</v>
      </c>
      <c r="E6">
        <v>11</v>
      </c>
      <c r="F6">
        <v>0.44585839888940298</v>
      </c>
      <c r="G6">
        <v>24.671510119356501</v>
      </c>
      <c r="H6" s="4">
        <v>3.3371793193813898E-13</v>
      </c>
      <c r="I6" s="4">
        <v>2.3493742408445E-11</v>
      </c>
      <c r="J6" t="s">
        <v>368</v>
      </c>
      <c r="K6" s="3" t="s">
        <v>369</v>
      </c>
      <c r="L6" s="6">
        <f t="shared" si="0"/>
        <v>12.476620456418184</v>
      </c>
    </row>
    <row r="7" spans="1:12" x14ac:dyDescent="0.3">
      <c r="A7" t="s">
        <v>66</v>
      </c>
      <c r="B7" s="3" t="s">
        <v>67</v>
      </c>
      <c r="C7" t="s">
        <v>370</v>
      </c>
      <c r="D7">
        <v>192</v>
      </c>
      <c r="E7">
        <v>13</v>
      </c>
      <c r="F7">
        <v>0.91068949560388701</v>
      </c>
      <c r="G7">
        <v>14.274898373983699</v>
      </c>
      <c r="H7" s="4">
        <v>2.1811332309748999E-12</v>
      </c>
      <c r="I7" s="4">
        <v>1.2795981621719399E-10</v>
      </c>
      <c r="J7" t="s">
        <v>371</v>
      </c>
      <c r="K7" s="3" t="s">
        <v>372</v>
      </c>
      <c r="L7" s="6">
        <f t="shared" si="0"/>
        <v>11.661317805439184</v>
      </c>
    </row>
    <row r="8" spans="1:12" x14ac:dyDescent="0.3">
      <c r="A8" t="s">
        <v>84</v>
      </c>
      <c r="B8" s="3" t="s">
        <v>85</v>
      </c>
      <c r="C8" t="s">
        <v>373</v>
      </c>
      <c r="D8">
        <v>93</v>
      </c>
      <c r="E8">
        <v>10</v>
      </c>
      <c r="F8">
        <v>0.441115224433132</v>
      </c>
      <c r="G8">
        <v>22.669813794912098</v>
      </c>
      <c r="H8" s="4">
        <v>1.0806146076167401E-11</v>
      </c>
      <c r="I8" s="4">
        <v>5.4339477411584897E-10</v>
      </c>
      <c r="J8" t="s">
        <v>374</v>
      </c>
      <c r="K8" s="3" t="s">
        <v>375</v>
      </c>
      <c r="L8" s="6">
        <f t="shared" si="0"/>
        <v>10.966329166017195</v>
      </c>
    </row>
    <row r="9" spans="1:12" x14ac:dyDescent="0.3">
      <c r="A9" t="s">
        <v>69</v>
      </c>
      <c r="B9" s="3" t="s">
        <v>70</v>
      </c>
      <c r="C9" t="s">
        <v>376</v>
      </c>
      <c r="D9">
        <v>56</v>
      </c>
      <c r="E9">
        <v>7</v>
      </c>
      <c r="F9">
        <v>0.26561776955113298</v>
      </c>
      <c r="G9">
        <v>26.3536585365853</v>
      </c>
      <c r="H9" s="4">
        <v>6.1679309423870603E-9</v>
      </c>
      <c r="I9" s="4">
        <v>2.7138896146503097E-7</v>
      </c>
      <c r="J9" t="s">
        <v>377</v>
      </c>
      <c r="K9" s="3" t="s">
        <v>378</v>
      </c>
      <c r="L9" s="6">
        <f t="shared" si="0"/>
        <v>8.2098604973935654</v>
      </c>
    </row>
    <row r="10" spans="1:12" x14ac:dyDescent="0.3">
      <c r="A10" t="s">
        <v>379</v>
      </c>
      <c r="B10" s="3" t="s">
        <v>380</v>
      </c>
      <c r="C10" t="s">
        <v>381</v>
      </c>
      <c r="D10">
        <v>186</v>
      </c>
      <c r="E10">
        <v>9</v>
      </c>
      <c r="F10">
        <v>0.882230448866265</v>
      </c>
      <c r="G10">
        <v>10.2014162077104</v>
      </c>
      <c r="H10" s="4">
        <v>1.5765657545391301E-7</v>
      </c>
      <c r="I10" s="4">
        <v>6.1661238399752702E-6</v>
      </c>
      <c r="J10" t="s">
        <v>382</v>
      </c>
      <c r="K10" s="3" t="s">
        <v>383</v>
      </c>
      <c r="L10" s="6">
        <f t="shared" si="0"/>
        <v>6.8022879112224635</v>
      </c>
    </row>
    <row r="11" spans="1:12" x14ac:dyDescent="0.3">
      <c r="A11" t="s">
        <v>74</v>
      </c>
      <c r="B11" s="3" t="s">
        <v>75</v>
      </c>
      <c r="C11" t="s">
        <v>384</v>
      </c>
      <c r="D11">
        <v>215</v>
      </c>
      <c r="E11">
        <v>9</v>
      </c>
      <c r="F11">
        <v>1.0197825080981</v>
      </c>
      <c r="G11">
        <v>8.8254112308564903</v>
      </c>
      <c r="H11" s="4">
        <v>5.4084559940494496E-7</v>
      </c>
      <c r="I11" s="4">
        <v>1.9037765099054002E-5</v>
      </c>
      <c r="J11" t="s">
        <v>385</v>
      </c>
      <c r="K11" s="3" t="s">
        <v>386</v>
      </c>
      <c r="L11" s="6">
        <f t="shared" si="0"/>
        <v>6.2669266995828963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PBS.v.FT240.KEGG-UP</vt:lpstr>
      <vt:lpstr>PBS.v.FT240.KEGG-DOWN</vt:lpstr>
      <vt:lpstr>PBS.v.FT240.RCT-UP</vt:lpstr>
      <vt:lpstr>PBS.v.FT240.RCT-DOWN</vt:lpstr>
      <vt:lpstr>FT240.v.OVCAR3.KEGG-UP</vt:lpstr>
      <vt:lpstr>FT240.v.OVCAR3.KEGG-DOWN</vt:lpstr>
      <vt:lpstr>FT240.v.OVCAR3.RCT-UP</vt:lpstr>
      <vt:lpstr>FT240.v.OVCAR3.RCT-DOWN</vt:lpstr>
      <vt:lpstr>PBS.v.OVCAR3.KEGG-UP</vt:lpstr>
      <vt:lpstr>PBS.v.OVCAR3.KEGG-DOWN</vt:lpstr>
      <vt:lpstr>PBS.v.OVCAR3.RCT-UP</vt:lpstr>
      <vt:lpstr>PBS.v.OVCAR3.RCT-DOWN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Jared Sipes</dc:creator>
  <cp:lastModifiedBy>Jared Sipes</cp:lastModifiedBy>
  <dcterms:created xsi:type="dcterms:W3CDTF">2024-10-08T17:20:35Z</dcterms:created>
  <dcterms:modified xsi:type="dcterms:W3CDTF">2024-10-08T17:32:35Z</dcterms:modified>
</cp:coreProperties>
</file>